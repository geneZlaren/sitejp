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édia Exponencial Móvel " sheetId="1" r:id="rId4"/>
    <sheet state="visible" name="Média Móvel" sheetId="2" r:id="rId5"/>
    <sheet state="visible" name="Ajustamento Exponencial" sheetId="3" r:id="rId6"/>
    <sheet state="visible" name="Equação Linear" sheetId="4" r:id="rId7"/>
    <sheet state="visible" name="Cópia de Equação Linear" sheetId="5" r:id="rId8"/>
    <sheet state="visible" name="Sazonalidade Simples" sheetId="6" r:id="rId9"/>
    <sheet state="visible" name="Cópia de Sazonalidade Simples 1" sheetId="7" r:id="rId10"/>
    <sheet state="visible" name="Cópia de Sazonalidade Simples" sheetId="8" r:id="rId11"/>
    <sheet state="visible" name="Sazonalidade com Tendência" sheetId="9" r:id="rId12"/>
    <sheet state="visible" name="sazonalidade com tendencia tcc" sheetId="10" r:id="rId13"/>
    <sheet state="visible" name="sazonalidade com tend alunos" sheetId="11" r:id="rId14"/>
    <sheet state="visible" name="sazonlidade com tend clientes" sheetId="12" r:id="rId15"/>
    <sheet state="visible" name="Correlações" sheetId="13" r:id="rId16"/>
    <sheet state="visible" name="Cópia de Correlações" sheetId="14" r:id="rId17"/>
    <sheet state="visible" name="Cópia de Cópia de Correlações" sheetId="15" r:id="rId18"/>
    <sheet state="visible" name="Página1" sheetId="16" r:id="rId19"/>
    <sheet state="visible" name="Página2" sheetId="17" r:id="rId20"/>
  </sheets>
  <definedNames>
    <definedName hidden="1" localSheetId="10" name="_xlnm._FilterDatabase">'sazonalidade com tend alunos'!$K$2:$K$26</definedName>
    <definedName hidden="1" localSheetId="11" name="_xlnm._FilterDatabase">'sazonlidade com tend clientes'!$K$2:$K$26</definedName>
  </definedNames>
  <calcPr/>
</workbook>
</file>

<file path=xl/sharedStrings.xml><?xml version="1.0" encoding="utf-8"?>
<sst xmlns="http://schemas.openxmlformats.org/spreadsheetml/2006/main" count="639" uniqueCount="147">
  <si>
    <t>Média Exponencial Móvel</t>
  </si>
  <si>
    <t>Período</t>
  </si>
  <si>
    <t>D. Real</t>
  </si>
  <si>
    <t>Ma=0,10</t>
  </si>
  <si>
    <t>Erro</t>
  </si>
  <si>
    <t>Ma=0,50</t>
  </si>
  <si>
    <t>Ma=0,80</t>
  </si>
  <si>
    <t>Média Exponencial Móvel (CAMA ST)</t>
  </si>
  <si>
    <t>Erro Acumulado</t>
  </si>
  <si>
    <t>MAD</t>
  </si>
  <si>
    <t>Média Exponencial Móvel (CAMA LX)</t>
  </si>
  <si>
    <t>Pt+1=Mt+Tt</t>
  </si>
  <si>
    <t>Mt=Pt+α1(Dt-Pt)</t>
  </si>
  <si>
    <t>Tt=Tt-1+α2((Pt-Pt-1)-Tt-1</t>
  </si>
  <si>
    <t>Média Móvel</t>
  </si>
  <si>
    <t>Mm3</t>
  </si>
  <si>
    <t>Mm6</t>
  </si>
  <si>
    <t>Mm12</t>
  </si>
  <si>
    <t>MAD do 13 ao 24</t>
  </si>
  <si>
    <t>Ajustamento Exponencial para Tendência</t>
  </si>
  <si>
    <t>Período t</t>
  </si>
  <si>
    <t>Demanda D</t>
  </si>
  <si>
    <t>Mt</t>
  </si>
  <si>
    <t>Tt</t>
  </si>
  <si>
    <t>Previsão P+1</t>
  </si>
  <si>
    <t>a=0,70</t>
  </si>
  <si>
    <t>a=0,30</t>
  </si>
  <si>
    <t>Erro acumulado</t>
  </si>
  <si>
    <t>Equação Linear</t>
  </si>
  <si>
    <t>X^2</t>
  </si>
  <si>
    <t>X.Y</t>
  </si>
  <si>
    <t>Previsão</t>
  </si>
  <si>
    <t>ERRO</t>
  </si>
  <si>
    <t>ABS</t>
  </si>
  <si>
    <t>Período X</t>
  </si>
  <si>
    <t>D. Real Y</t>
  </si>
  <si>
    <t>somatórios</t>
  </si>
  <si>
    <t>b</t>
  </si>
  <si>
    <t>a</t>
  </si>
  <si>
    <t>ERRO ACUMULADO</t>
  </si>
  <si>
    <t>Y=281 +15,5*X</t>
  </si>
  <si>
    <t>Data</t>
  </si>
  <si>
    <t>quantidade</t>
  </si>
  <si>
    <t>cursos</t>
  </si>
  <si>
    <t>XX/01/2023</t>
  </si>
  <si>
    <t>PREENCHIMENTO COM ACIDO HIALURONICO</t>
  </si>
  <si>
    <t>XX/02/2023</t>
  </si>
  <si>
    <t>BIOESTIMULADORES DE COLÁGENO</t>
  </si>
  <si>
    <t>XX/03/2024</t>
  </si>
  <si>
    <t>FIOS DE PDO</t>
  </si>
  <si>
    <t>XX/04/2023</t>
  </si>
  <si>
    <t>XX/05/2023</t>
  </si>
  <si>
    <t>TOXINA BUTOLÍNICA</t>
  </si>
  <si>
    <t>XX/06/2023</t>
  </si>
  <si>
    <t>XX/07/2023</t>
  </si>
  <si>
    <t>XX/08/2023</t>
  </si>
  <si>
    <t>XX/09/2023</t>
  </si>
  <si>
    <t>FIOS DE PDO E BIOESTIMULADORES DE COLÁGENO</t>
  </si>
  <si>
    <t>XX/10/2023</t>
  </si>
  <si>
    <t>XX/11/2023</t>
  </si>
  <si>
    <t>XX/12/2023</t>
  </si>
  <si>
    <t>BIOESTIMULADORES DE COLÁGENO E FIOS DE PDO</t>
  </si>
  <si>
    <t>XX/01/2024</t>
  </si>
  <si>
    <t>XX/02/2024</t>
  </si>
  <si>
    <t>PREENCHIMENTO COM ACIDO HIALURONICO E FIOS DE PDO</t>
  </si>
  <si>
    <t>XX/04/2024</t>
  </si>
  <si>
    <t>XX/05/2024</t>
  </si>
  <si>
    <t>XX/06/2024</t>
  </si>
  <si>
    <t>XX/07/2024</t>
  </si>
  <si>
    <t>XX/08/2024</t>
  </si>
  <si>
    <t>XX/09/2024</t>
  </si>
  <si>
    <t>TOXINA BUTOLINICA E PREENCHIMENTO COM ACIDO HIALURONICO</t>
  </si>
  <si>
    <t>XX/10/2024</t>
  </si>
  <si>
    <t>XX/11/2024</t>
  </si>
  <si>
    <t>XX/12/2024</t>
  </si>
  <si>
    <t>FIOS DE PDO E TOXINA BUTOLINICA</t>
  </si>
  <si>
    <t>Índice de Sazonalidade</t>
  </si>
  <si>
    <t>Sazonalidade Simples</t>
  </si>
  <si>
    <t>MMC1/2</t>
  </si>
  <si>
    <t>MMC</t>
  </si>
  <si>
    <t>IS</t>
  </si>
  <si>
    <t>IS Médio</t>
  </si>
  <si>
    <t>D. Média</t>
  </si>
  <si>
    <t>D. Prev</t>
  </si>
  <si>
    <t>IS 1</t>
  </si>
  <si>
    <t>IS 2</t>
  </si>
  <si>
    <t>IS 3</t>
  </si>
  <si>
    <t>IS 4</t>
  </si>
  <si>
    <t>IS 5</t>
  </si>
  <si>
    <t>IS 6</t>
  </si>
  <si>
    <t>IS 7</t>
  </si>
  <si>
    <t>IS 8</t>
  </si>
  <si>
    <t>IS 9</t>
  </si>
  <si>
    <t>IS 10</t>
  </si>
  <si>
    <t>IS 11</t>
  </si>
  <si>
    <t>IS 12</t>
  </si>
  <si>
    <t>Demanda Média</t>
  </si>
  <si>
    <t xml:space="preserve">D. Real </t>
  </si>
  <si>
    <t xml:space="preserve">Período </t>
  </si>
  <si>
    <t>D.Real</t>
  </si>
  <si>
    <t>Cálculo do is Médio</t>
  </si>
  <si>
    <t>Sazonalidade com Tendência</t>
  </si>
  <si>
    <t>MMC 3</t>
  </si>
  <si>
    <t>Demanda real</t>
  </si>
  <si>
    <t>MMC3</t>
  </si>
  <si>
    <t>IS MÉDIO</t>
  </si>
  <si>
    <t xml:space="preserve"> D.Prev.</t>
  </si>
  <si>
    <t>MMC Previsto</t>
  </si>
  <si>
    <t>y = 0,2637x + 5,0183</t>
  </si>
  <si>
    <t>previsão</t>
  </si>
  <si>
    <t>erro</t>
  </si>
  <si>
    <t>Tend.</t>
  </si>
  <si>
    <t>Cálculo da Têndencia</t>
  </si>
  <si>
    <t>Correlações</t>
  </si>
  <si>
    <t>n</t>
  </si>
  <si>
    <t>Número de alunos X</t>
  </si>
  <si>
    <t>Vendas por casa Y</t>
  </si>
  <si>
    <t>Y^2</t>
  </si>
  <si>
    <t>SOMATÓRIOS</t>
  </si>
  <si>
    <t>numero de pacientes Y</t>
  </si>
  <si>
    <t>X</t>
  </si>
  <si>
    <t>Y</t>
  </si>
  <si>
    <t>Y=-6152041,146 +863446,5*X</t>
  </si>
  <si>
    <t>Y=-11033,12245 +2493,285714*X</t>
  </si>
  <si>
    <t>BIOESTIMULADORES DE COLÁGENO(ROSTO DERRETIDO</t>
  </si>
  <si>
    <t>FEVEREIRO</t>
  </si>
  <si>
    <t>ABRIL</t>
  </si>
  <si>
    <t>JULHO</t>
  </si>
  <si>
    <t>OUTUBRO</t>
  </si>
  <si>
    <t>TOXINA BUTOLINICA (ESTETICA FACIAL, CORREÇÃO DO SORRISO, BRUXISMO)</t>
  </si>
  <si>
    <t>JANEIRO</t>
  </si>
  <si>
    <t>SETEMBRO</t>
  </si>
  <si>
    <t>NOVEMBRO</t>
  </si>
  <si>
    <t>HARMONIZAÇÃO GLUTEA</t>
  </si>
  <si>
    <t xml:space="preserve">FEVEREIRO </t>
  </si>
  <si>
    <t>MAIO</t>
  </si>
  <si>
    <t>PREENCHIMENTO COM ACIDO HIALURONICO(LABIOS,OLHEIRAS,MANDIBULAS)</t>
  </si>
  <si>
    <t xml:space="preserve">MARÇO </t>
  </si>
  <si>
    <t>JUNHO</t>
  </si>
  <si>
    <t>DEZEMBRO</t>
  </si>
  <si>
    <t>FIOS DE PDO( TRATAMENTO DE CICATRIZES E ACNE</t>
  </si>
  <si>
    <t>AGOSTO</t>
  </si>
  <si>
    <t>demanda alunos</t>
  </si>
  <si>
    <t>previsão alunos</t>
  </si>
  <si>
    <t>mad</t>
  </si>
  <si>
    <t>demanda clientes</t>
  </si>
  <si>
    <t>previsão clientes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</si>
</sst>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0.0000"/>
    <numFmt numFmtId="166" formatCode="0.000"/>
    <numFmt numFmtId="167" formatCode="0.00000"/>
    <numFmt numFmtId="168" formatCode="mmmm yyyy"/>
  </numFmts>
  <fonts count="1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color rgb="FF000000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rgb="FF434343"/>
      <name val="Calibri"/>
      <scheme val="minor"/>
    </font>
    <font>
      <color rgb="FFCC4125"/>
      <name val="Calibri"/>
      <scheme val="minor"/>
    </font>
    <font>
      <sz val="11.0"/>
      <color rgb="FF000000"/>
      <name val="Garamond"/>
    </font>
    <font>
      <sz val="11.0"/>
      <color rgb="FF000000"/>
      <name val="Calibri"/>
    </font>
    <font>
      <sz val="9.0"/>
      <color rgb="FF595959"/>
      <name val="Calibri"/>
      <scheme val="minor"/>
    </font>
    <font>
      <sz val="9.0"/>
      <color rgb="FF000000"/>
      <name val="&quot;Google Sans Mono&quot;"/>
    </font>
    <font>
      <sz val="11.0"/>
      <color theme="1"/>
      <name val="Garamond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2">
    <border/>
    <border>
      <right style="thin">
        <color theme="0"/>
      </right>
    </border>
    <border>
      <top style="thin">
        <color rgb="FF000000"/>
      </top>
      <bottom style="thin">
        <color rgb="FF000000"/>
      </bottom>
    </border>
    <border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6" fillId="0" fontId="1" numFmtId="1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1" numFmtId="1" xfId="0" applyAlignment="1" applyBorder="1" applyFont="1" applyNumberFormat="1">
      <alignment horizontal="center"/>
    </xf>
    <xf borderId="10" fillId="0" fontId="1" numFmtId="1" xfId="0" applyAlignment="1" applyBorder="1" applyFont="1" applyNumberFormat="1">
      <alignment horizontal="center"/>
    </xf>
    <xf borderId="9" fillId="0" fontId="1" numFmtId="1" xfId="0" applyAlignment="1" applyBorder="1" applyFont="1" applyNumberFormat="1">
      <alignment horizontal="center"/>
    </xf>
    <xf borderId="9" fillId="0" fontId="1" numFmtId="1" xfId="0" applyAlignment="1" applyBorder="1" applyFont="1" applyNumberFormat="1">
      <alignment horizontal="center" readingOrder="0"/>
    </xf>
    <xf borderId="11" fillId="0" fontId="2" numFmtId="0" xfId="0" applyBorder="1" applyFont="1"/>
    <xf borderId="0" fillId="0" fontId="3" numFmtId="0" xfId="0" applyAlignment="1" applyFont="1">
      <alignment readingOrder="0"/>
    </xf>
    <xf borderId="12" fillId="0" fontId="1" numFmtId="0" xfId="0" applyAlignment="1" applyBorder="1" applyFont="1">
      <alignment horizontal="center"/>
    </xf>
    <xf borderId="6" fillId="0" fontId="1" numFmtId="0" xfId="0" applyBorder="1" applyFont="1"/>
    <xf borderId="0" fillId="0" fontId="1" numFmtId="0" xfId="0" applyFont="1"/>
    <xf borderId="1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6" fillId="0" fontId="3" numFmtId="0" xfId="0" applyBorder="1" applyFont="1"/>
    <xf borderId="6" fillId="0" fontId="3" numFmtId="1" xfId="0" applyBorder="1" applyFont="1" applyNumberFormat="1"/>
    <xf borderId="7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4" fillId="0" fontId="2" numFmtId="0" xfId="0" applyBorder="1" applyFont="1"/>
    <xf borderId="13" fillId="0" fontId="2" numFmtId="0" xfId="0" applyBorder="1" applyFont="1"/>
    <xf borderId="16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vertical="top"/>
    </xf>
    <xf borderId="6" fillId="0" fontId="1" numFmtId="0" xfId="0" applyAlignment="1" applyBorder="1" applyFont="1">
      <alignment horizontal="center" readingOrder="0"/>
    </xf>
    <xf borderId="6" fillId="0" fontId="1" numFmtId="1" xfId="0" applyBorder="1" applyFont="1" applyNumberFormat="1"/>
    <xf borderId="6" fillId="0" fontId="3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/>
    </xf>
    <xf borderId="17" fillId="0" fontId="3" numFmtId="1" xfId="0" applyBorder="1" applyFont="1" applyNumberFormat="1"/>
    <xf borderId="14" fillId="0" fontId="3" numFmtId="0" xfId="0" applyBorder="1" applyFont="1"/>
    <xf borderId="0" fillId="0" fontId="3" numFmtId="1" xfId="0" applyFont="1" applyNumberFormat="1"/>
    <xf borderId="0" fillId="0" fontId="1" numFmtId="0" xfId="0" applyAlignment="1" applyFont="1">
      <alignment horizontal="center" vertical="center"/>
    </xf>
    <xf borderId="0" fillId="0" fontId="3" numFmtId="1" xfId="0" applyAlignment="1" applyFont="1" applyNumberFormat="1">
      <alignment horizontal="right" readingOrder="0"/>
    </xf>
    <xf borderId="0" fillId="0" fontId="3" numFmtId="0" xfId="0" applyFont="1"/>
    <xf borderId="6" fillId="0" fontId="1" numFmtId="1" xfId="0" applyAlignment="1" applyBorder="1" applyFont="1" applyNumberFormat="1">
      <alignment readingOrder="0"/>
    </xf>
    <xf borderId="0" fillId="2" fontId="4" numFmtId="0" xfId="0" applyFill="1" applyFont="1"/>
    <xf borderId="0" fillId="0" fontId="3" numFmtId="0" xfId="0" applyAlignment="1" applyFont="1">
      <alignment horizontal="center" readingOrder="0"/>
    </xf>
    <xf borderId="5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6" fillId="0" fontId="6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/>
    </xf>
    <xf borderId="6" fillId="0" fontId="3" numFmtId="1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6" fillId="0" fontId="5" numFmtId="1" xfId="0" applyAlignment="1" applyBorder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3" numFmtId="164" xfId="0" applyFont="1" applyNumberFormat="1"/>
    <xf borderId="0" fillId="0" fontId="3" numFmtId="0" xfId="0" applyAlignment="1" applyFont="1">
      <alignment horizontal="center"/>
    </xf>
    <xf borderId="6" fillId="0" fontId="3" numFmtId="0" xfId="0" applyAlignment="1" applyBorder="1" applyFont="1">
      <alignment horizontal="center" readingOrder="0"/>
    </xf>
    <xf borderId="6" fillId="0" fontId="1" numFmtId="1" xfId="0" applyAlignment="1" applyBorder="1" applyFont="1" applyNumberFormat="1">
      <alignment horizontal="left"/>
    </xf>
    <xf borderId="0" fillId="0" fontId="1" numFmtId="0" xfId="0" applyAlignment="1" applyFont="1">
      <alignment horizontal="right" readingOrder="0"/>
    </xf>
    <xf borderId="6" fillId="0" fontId="3" numFmtId="1" xfId="0" applyAlignment="1" applyBorder="1" applyFont="1" applyNumberFormat="1">
      <alignment horizontal="left"/>
    </xf>
    <xf borderId="14" fillId="0" fontId="2" numFmtId="0" xfId="0" applyBorder="1" applyFont="1"/>
    <xf borderId="8" fillId="0" fontId="2" numFmtId="0" xfId="0" applyBorder="1" applyFont="1"/>
    <xf borderId="6" fillId="0" fontId="1" numFmtId="165" xfId="0" applyAlignment="1" applyBorder="1" applyFont="1" applyNumberFormat="1">
      <alignment horizontal="center"/>
    </xf>
    <xf borderId="6" fillId="0" fontId="1" numFmtId="165" xfId="0" applyBorder="1" applyFont="1" applyNumberFormat="1"/>
    <xf borderId="6" fillId="0" fontId="1" numFmtId="1" xfId="0" applyAlignment="1" applyBorder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3" numFmtId="2" xfId="0" applyFont="1" applyNumberFormat="1"/>
    <xf borderId="0" fillId="0" fontId="1" numFmtId="2" xfId="0" applyAlignment="1" applyFont="1" applyNumberFormat="1">
      <alignment horizontal="center"/>
    </xf>
    <xf borderId="0" fillId="2" fontId="3" numFmtId="0" xfId="0" applyFont="1"/>
    <xf borderId="0" fillId="2" fontId="1" numFmtId="2" xfId="0" applyAlignment="1" applyFont="1" applyNumberFormat="1">
      <alignment horizontal="center"/>
    </xf>
    <xf borderId="6" fillId="0" fontId="1" numFmtId="2" xfId="0" applyAlignment="1" applyBorder="1" applyFont="1" applyNumberFormat="1">
      <alignment horizontal="center" vertical="bottom"/>
    </xf>
    <xf borderId="6" fillId="0" fontId="1" numFmtId="2" xfId="0" applyAlignment="1" applyBorder="1" applyFont="1" applyNumberFormat="1">
      <alignment horizontal="center"/>
    </xf>
    <xf borderId="6" fillId="0" fontId="3" numFmtId="2" xfId="0" applyAlignment="1" applyBorder="1" applyFont="1" applyNumberFormat="1">
      <alignment horizontal="center"/>
    </xf>
    <xf borderId="17" fillId="0" fontId="1" numFmtId="2" xfId="0" applyAlignment="1" applyBorder="1" applyFont="1" applyNumberFormat="1">
      <alignment horizontal="center" vertical="bottom"/>
    </xf>
    <xf borderId="14" fillId="0" fontId="1" numFmtId="2" xfId="0" applyAlignment="1" applyBorder="1" applyFont="1" applyNumberFormat="1">
      <alignment horizontal="center" vertical="bottom"/>
    </xf>
    <xf borderId="0" fillId="0" fontId="3" numFmtId="2" xfId="0" applyAlignment="1" applyFont="1" applyNumberFormat="1">
      <alignment horizontal="center"/>
    </xf>
    <xf borderId="6" fillId="0" fontId="1" numFmtId="0" xfId="0" applyAlignment="1" applyBorder="1" applyFont="1">
      <alignment horizontal="left"/>
    </xf>
    <xf borderId="6" fillId="0" fontId="1" numFmtId="166" xfId="0" applyAlignment="1" applyBorder="1" applyFont="1" applyNumberFormat="1">
      <alignment horizontal="center"/>
    </xf>
    <xf borderId="6" fillId="0" fontId="1" numFmtId="165" xfId="0" applyAlignment="1" applyBorder="1" applyFont="1" applyNumberFormat="1">
      <alignment horizontal="center" vertical="bottom"/>
    </xf>
    <xf borderId="18" fillId="0" fontId="1" numFmtId="165" xfId="0" applyAlignment="1" applyBorder="1" applyFont="1" applyNumberFormat="1">
      <alignment horizontal="center" vertical="bottom"/>
    </xf>
    <xf borderId="9" fillId="0" fontId="3" numFmtId="0" xfId="0" applyBorder="1" applyFont="1"/>
    <xf borderId="14" fillId="0" fontId="1" numFmtId="165" xfId="0" applyAlignment="1" applyBorder="1" applyFont="1" applyNumberFormat="1">
      <alignment horizontal="center"/>
    </xf>
    <xf borderId="6" fillId="0" fontId="1" numFmtId="165" xfId="0" applyAlignment="1" applyBorder="1" applyFont="1" applyNumberFormat="1">
      <alignment horizontal="center" readingOrder="0" vertical="bottom"/>
    </xf>
    <xf borderId="17" fillId="0" fontId="1" numFmtId="165" xfId="0" applyAlignment="1" applyBorder="1" applyFont="1" applyNumberFormat="1">
      <alignment horizontal="center" readingOrder="0" vertical="bottom"/>
    </xf>
    <xf borderId="14" fillId="0" fontId="1" numFmtId="165" xfId="0" applyAlignment="1" applyBorder="1" applyFont="1" applyNumberFormat="1">
      <alignment horizontal="center" readingOrder="0" vertical="bottom"/>
    </xf>
    <xf borderId="7" fillId="0" fontId="1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center" readingOrder="0" vertical="bottom"/>
    </xf>
    <xf borderId="19" fillId="0" fontId="10" numFmtId="0" xfId="0" applyAlignment="1" applyBorder="1" applyFont="1">
      <alignment horizontal="center" readingOrder="0" vertical="bottom"/>
    </xf>
    <xf borderId="6" fillId="0" fontId="10" numFmtId="0" xfId="0" applyAlignment="1" applyBorder="1" applyFont="1">
      <alignment vertical="bottom"/>
    </xf>
    <xf borderId="10" fillId="0" fontId="1" numFmtId="165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1" numFmtId="0" xfId="0" applyAlignment="1" applyFont="1">
      <alignment horizontal="center" readingOrder="0"/>
    </xf>
    <xf borderId="6" fillId="0" fontId="10" numFmtId="167" xfId="0" applyAlignment="1" applyBorder="1" applyFont="1" applyNumberFormat="1">
      <alignment horizontal="center" readingOrder="0" vertical="bottom"/>
    </xf>
    <xf borderId="20" fillId="0" fontId="10" numFmtId="167" xfId="0" applyAlignment="1" applyBorder="1" applyFont="1" applyNumberFormat="1">
      <alignment horizontal="center" readingOrder="0" vertical="bottom"/>
    </xf>
    <xf borderId="0" fillId="0" fontId="1" numFmtId="1" xfId="0" applyFont="1" applyNumberFormat="1"/>
    <xf borderId="0" fillId="0" fontId="3" numFmtId="165" xfId="0" applyFont="1" applyNumberFormat="1"/>
    <xf borderId="6" fillId="0" fontId="1" numFmtId="167" xfId="0" applyAlignment="1" applyBorder="1" applyFont="1" applyNumberFormat="1">
      <alignment horizontal="center"/>
    </xf>
    <xf borderId="6" fillId="0" fontId="1" numFmtId="0" xfId="0" applyAlignment="1" applyBorder="1" applyFont="1">
      <alignment horizontal="left" readingOrder="0"/>
    </xf>
    <xf borderId="6" fillId="0" fontId="1" numFmtId="165" xfId="0" applyAlignment="1" applyBorder="1" applyFont="1" applyNumberFormat="1">
      <alignment horizontal="center" readingOrder="0"/>
    </xf>
    <xf borderId="0" fillId="3" fontId="12" numFmtId="165" xfId="0" applyAlignment="1" applyFill="1" applyFont="1" applyNumberFormat="1">
      <alignment horizontal="left"/>
    </xf>
    <xf borderId="6" fillId="0" fontId="3" numFmtId="0" xfId="0" applyAlignment="1" applyBorder="1" applyFont="1">
      <alignment horizontal="left" readingOrder="0"/>
    </xf>
    <xf borderId="0" fillId="3" fontId="12" numFmtId="165" xfId="0" applyFont="1" applyNumberFormat="1"/>
    <xf borderId="0" fillId="3" fontId="1" numFmtId="165" xfId="0" applyAlignment="1" applyFont="1" applyNumberFormat="1">
      <alignment horizontal="center"/>
    </xf>
    <xf borderId="14" fillId="0" fontId="3" numFmtId="0" xfId="0" applyAlignment="1" applyBorder="1" applyFont="1">
      <alignment readingOrder="0"/>
    </xf>
    <xf borderId="14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left" readingOrder="0"/>
    </xf>
    <xf borderId="17" fillId="0" fontId="1" numFmtId="1" xfId="0" applyAlignment="1" applyBorder="1" applyFont="1" applyNumberFormat="1">
      <alignment horizontal="center"/>
    </xf>
    <xf borderId="17" fillId="0" fontId="1" numFmtId="165" xfId="0" applyAlignment="1" applyBorder="1" applyFont="1" applyNumberFormat="1">
      <alignment horizontal="center"/>
    </xf>
    <xf borderId="14" fillId="0" fontId="1" numFmtId="1" xfId="0" applyAlignment="1" applyBorder="1" applyFont="1" applyNumberFormat="1">
      <alignment horizontal="center"/>
    </xf>
    <xf borderId="20" fillId="0" fontId="1" numFmtId="1" xfId="0" applyAlignment="1" applyBorder="1" applyFont="1" applyNumberFormat="1">
      <alignment horizontal="center"/>
    </xf>
    <xf borderId="20" fillId="0" fontId="1" numFmtId="165" xfId="0" applyAlignment="1" applyBorder="1" applyFont="1" applyNumberFormat="1">
      <alignment horizontal="center"/>
    </xf>
    <xf borderId="21" fillId="0" fontId="1" numFmtId="0" xfId="0" applyAlignment="1" applyBorder="1" applyFont="1">
      <alignment horizontal="center"/>
    </xf>
    <xf borderId="21" fillId="0" fontId="2" numFmtId="0" xfId="0" applyBorder="1" applyFont="1"/>
    <xf borderId="13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21" fillId="0" fontId="3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left" shrinkToFit="0" wrapText="1"/>
    </xf>
    <xf borderId="13" fillId="0" fontId="1" numFmtId="0" xfId="0" applyAlignment="1" applyBorder="1" applyFont="1">
      <alignment horizontal="left" shrinkToFit="0" wrapText="1"/>
    </xf>
    <xf borderId="0" fillId="0" fontId="6" numFmtId="0" xfId="0" applyAlignment="1" applyFont="1">
      <alignment horizontal="center" readingOrder="0"/>
    </xf>
    <xf borderId="0" fillId="0" fontId="13" numFmtId="14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readingOrder="0" vertical="bottom"/>
    </xf>
    <xf borderId="14" fillId="0" fontId="1" numFmtId="0" xfId="0" applyAlignment="1" applyBorder="1" applyFont="1">
      <alignment horizontal="center" readingOrder="0"/>
    </xf>
    <xf borderId="14" fillId="0" fontId="1" numFmtId="0" xfId="0" applyBorder="1" applyFont="1"/>
    <xf borderId="0" fillId="0" fontId="6" numFmtId="0" xfId="0" applyAlignment="1" applyFont="1">
      <alignment readingOrder="0"/>
    </xf>
    <xf borderId="0" fillId="0" fontId="3" numFmtId="168" xfId="0" applyAlignment="1" applyFont="1" applyNumberFormat="1">
      <alignment readingOrder="0"/>
    </xf>
    <xf borderId="0" fillId="0" fontId="6" numFmtId="0" xfId="0" applyAlignment="1" applyFont="1">
      <alignment horizontal="right" readingOrder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D. Real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1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yVal>
            <c:numRef>
              <c:f>'Equação Linear'!$C$3:$C$26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644119"/>
        <c:axId val="306498431"/>
      </c:scatterChart>
      <c:valAx>
        <c:axId val="18436441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498431"/>
      </c:valAx>
      <c:valAx>
        <c:axId val="306498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D. 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6441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D. Real versus Período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70196"/>
                  </a:srgbClr>
                </a:solidFill>
              </a:ln>
            </c:spPr>
            <c:trendlineType val="linear"/>
            <c:dispRSqr val="0"/>
            <c:dispEq val="1"/>
          </c:trendline>
          <c:xVal>
            <c:numRef>
              <c:f>'Equação Linear'!$B$36:$B$49</c:f>
            </c:numRef>
          </c:xVal>
          <c:yVal>
            <c:numRef>
              <c:f>'Equação Linear'!$C$36:$C$49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742984"/>
        <c:axId val="1423752889"/>
      </c:scatterChart>
      <c:valAx>
        <c:axId val="4707429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Período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752889"/>
      </c:valAx>
      <c:valAx>
        <c:axId val="1423752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D. 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7429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D. Real versus Período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'Equação Linear'!$C$57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'Equação Linear'!$B$58:$B$71</c:f>
            </c:numRef>
          </c:xVal>
          <c:yVal>
            <c:numRef>
              <c:f>'Equação Linear'!$C$58:$C$71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39451"/>
        <c:axId val="1277683545"/>
      </c:scatterChart>
      <c:valAx>
        <c:axId val="19003394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Período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683545"/>
      </c:valAx>
      <c:valAx>
        <c:axId val="1277683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D. 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339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D. Real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1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yVal>
            <c:numRef>
              <c:f>'Cópia de Equação Linear'!$C$3:$C$26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357367"/>
        <c:axId val="1829587634"/>
      </c:scatterChart>
      <c:valAx>
        <c:axId val="15603573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587634"/>
      </c:valAx>
      <c:valAx>
        <c:axId val="1829587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D. 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0357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D. Real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'Sazonalidade Simples'!$C$48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'Sazonalidade Simples'!$C$49:$C$86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60903"/>
        <c:axId val="542858772"/>
      </c:scatterChart>
      <c:valAx>
        <c:axId val="1914609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858772"/>
      </c:valAx>
      <c:valAx>
        <c:axId val="542858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D. Real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609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D.Real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'Sazonalidade Simples'!$C$3:$C$40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673883"/>
        <c:axId val="1960022728"/>
      </c:scatterChart>
      <c:valAx>
        <c:axId val="20986738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022728"/>
      </c:valAx>
      <c:valAx>
        <c:axId val="1960022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D.Real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8673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D. Real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'Cópia de Sazonalidade Simples 1'!$C$48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'Cópia de Sazonalidade Simples 1'!$C$49:$C$86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7984591"/>
        <c:axId val="368659297"/>
      </c:scatterChart>
      <c:valAx>
        <c:axId val="16679845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8659297"/>
      </c:valAx>
      <c:valAx>
        <c:axId val="368659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D. Real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984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D.Real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'Cópia de Sazonalidade Simples 1'!$C$3:$C$40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237387"/>
        <c:axId val="1508350893"/>
      </c:scatterChart>
      <c:valAx>
        <c:axId val="2712373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350893"/>
      </c:valAx>
      <c:valAx>
        <c:axId val="1508350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D.Real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12373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D.Real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'Cópia de Sazonalidade Simples'!$C$3:$C$26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112572"/>
        <c:axId val="292464765"/>
      </c:scatterChart>
      <c:valAx>
        <c:axId val="20551125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2464765"/>
      </c:valAx>
      <c:valAx>
        <c:axId val="292464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D.Real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112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D. Real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'Cópia de Sazonalidade Simples'!$C$36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'Cópia de Sazonalidade Simples'!$C$37:$C$60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815631"/>
        <c:axId val="1219106729"/>
      </c:scatterChart>
      <c:valAx>
        <c:axId val="20448156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106729"/>
      </c:valAx>
      <c:valAx>
        <c:axId val="12191067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D. Real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4815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'Sazonalidade com Tendência'!$M$22:$M$23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'Sazonalidade com Tendência'!$M$24:$M$36</c:f>
              <c:numCache/>
            </c:numRef>
          </c:val>
          <c:smooth val="0"/>
        </c:ser>
        <c:axId val="1283123907"/>
        <c:axId val="1356600460"/>
      </c:lineChart>
      <c:catAx>
        <c:axId val="1283123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600460"/>
      </c:catAx>
      <c:valAx>
        <c:axId val="1356600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3123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Tend.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'sazonalidade com tend alunos'!$K$2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val>
            <c:numRef>
              <c:f>'sazonalidade com tend alunos'!$K$3:$K$26</c:f>
              <c:numCache/>
            </c:numRef>
          </c:val>
          <c:smooth val="0"/>
        </c:ser>
        <c:axId val="842665442"/>
        <c:axId val="743786461"/>
      </c:lineChart>
      <c:catAx>
        <c:axId val="842665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3786461"/>
      </c:catAx>
      <c:valAx>
        <c:axId val="743786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Tend.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6654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Tend.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'sazonalidade com tend alunos'!$K$2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'sazonalidade com tend alunos'!$K$3:$K$26</c:f>
              <c:numCache/>
            </c:numRef>
          </c:val>
          <c:smooth val="0"/>
        </c:ser>
        <c:axId val="1914873563"/>
        <c:axId val="1302779805"/>
      </c:lineChart>
      <c:catAx>
        <c:axId val="1914873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2779805"/>
      </c:catAx>
      <c:valAx>
        <c:axId val="1302779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Tend.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873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Tend.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'sazonlidade com tend clientes'!$K$2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val>
            <c:numRef>
              <c:f>'sazonlidade com tend clientes'!$K$3:$K$26</c:f>
              <c:numCache/>
            </c:numRef>
          </c:val>
          <c:smooth val="0"/>
        </c:ser>
        <c:axId val="589463153"/>
        <c:axId val="1460217420"/>
      </c:lineChart>
      <c:catAx>
        <c:axId val="589463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217420"/>
      </c:catAx>
      <c:valAx>
        <c:axId val="1460217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Tend.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4631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Tend.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'sazonlidade com tend clientes'!$K$2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'sazonlidade com tend clientes'!$K$3:$K$26</c:f>
              <c:numCache/>
            </c:numRef>
          </c:val>
          <c:smooth val="0"/>
        </c:ser>
        <c:axId val="2052983460"/>
        <c:axId val="475578799"/>
      </c:lineChart>
      <c:catAx>
        <c:axId val="2052983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578799"/>
      </c:catAx>
      <c:valAx>
        <c:axId val="475578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Tend.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9834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por casa Y versus Número de alunos X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'Correlações'!$C$3:$C$15</c:f>
            </c:numRef>
          </c:xVal>
          <c:yVal>
            <c:numRef>
              <c:f>'Correlações'!$D$3:$D$15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994356"/>
        <c:axId val="2004983376"/>
      </c:scatterChart>
      <c:valAx>
        <c:axId val="4519943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alunos 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983376"/>
      </c:valAx>
      <c:valAx>
        <c:axId val="2004983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Vendas por casa 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9943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'Cópia de Correlações'!$C$3:$C$28</c:f>
            </c:numRef>
          </c:xVal>
          <c:yVal>
            <c:numRef>
              <c:f>'Cópia de Correlações'!$D$3:$D$28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204170"/>
        <c:axId val="1330977694"/>
      </c:scatterChart>
      <c:valAx>
        <c:axId val="9652041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alunos 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977694"/>
      </c:valAx>
      <c:valAx>
        <c:axId val="1330977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numero de pacientes 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2041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'Cópia de Cópia de Correlações'!$C$3:$C$28</c:f>
            </c:numRef>
          </c:xVal>
          <c:yVal>
            <c:numRef>
              <c:f>'Cópia de Cópia de Correlações'!$D$3:$D$28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629759"/>
        <c:axId val="1545333625"/>
      </c:scatterChart>
      <c:valAx>
        <c:axId val="10266297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alunos 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333625"/>
      </c:valAx>
      <c:valAx>
        <c:axId val="1545333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numero de pacientes 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6297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0</xdr:row>
      <xdr:rowOff>57150</xdr:rowOff>
    </xdr:from>
    <xdr:ext cx="2352675" cy="14478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19050</xdr:colOff>
      <xdr:row>34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19050</xdr:colOff>
      <xdr:row>57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3</xdr:row>
      <xdr:rowOff>85725</xdr:rowOff>
    </xdr:from>
    <xdr:ext cx="577215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219075</xdr:colOff>
      <xdr:row>45</xdr:row>
      <xdr:rowOff>161925</xdr:rowOff>
    </xdr:from>
    <xdr:ext cx="3571875" cy="22098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180975</xdr:colOff>
      <xdr:row>9</xdr:row>
      <xdr:rowOff>0</xdr:rowOff>
    </xdr:from>
    <xdr:ext cx="4457700" cy="27622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219075</xdr:colOff>
      <xdr:row>45</xdr:row>
      <xdr:rowOff>161925</xdr:rowOff>
    </xdr:from>
    <xdr:ext cx="3571875" cy="220980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180975</xdr:colOff>
      <xdr:row>9</xdr:row>
      <xdr:rowOff>0</xdr:rowOff>
    </xdr:from>
    <xdr:ext cx="4457700" cy="276225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476250</xdr:colOff>
      <xdr:row>9</xdr:row>
      <xdr:rowOff>123825</xdr:rowOff>
    </xdr:from>
    <xdr:ext cx="4457700" cy="276225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57150</xdr:colOff>
      <xdr:row>35</xdr:row>
      <xdr:rowOff>19050</xdr:rowOff>
    </xdr:from>
    <xdr:ext cx="3571875" cy="22098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32</xdr:row>
      <xdr:rowOff>161925</xdr:rowOff>
    </xdr:from>
    <xdr:ext cx="3333750" cy="206692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51</xdr:row>
      <xdr:rowOff>114300</xdr:rowOff>
    </xdr:from>
    <xdr:ext cx="3905250" cy="241935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142875</xdr:colOff>
      <xdr:row>27</xdr:row>
      <xdr:rowOff>28575</xdr:rowOff>
    </xdr:from>
    <xdr:ext cx="2990850" cy="184785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51</xdr:row>
      <xdr:rowOff>114300</xdr:rowOff>
    </xdr:from>
    <xdr:ext cx="3905250" cy="2419350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142875</xdr:colOff>
      <xdr:row>27</xdr:row>
      <xdr:rowOff>28575</xdr:rowOff>
    </xdr:from>
    <xdr:ext cx="2990850" cy="1847850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0</xdr:row>
      <xdr:rowOff>133350</xdr:rowOff>
    </xdr:from>
    <xdr:ext cx="5715000" cy="3533775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476250</xdr:colOff>
      <xdr:row>12</xdr:row>
      <xdr:rowOff>133350</xdr:rowOff>
    </xdr:from>
    <xdr:ext cx="4295775" cy="2657475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190500</xdr:colOff>
      <xdr:row>7</xdr:row>
      <xdr:rowOff>38100</xdr:rowOff>
    </xdr:from>
    <xdr:ext cx="3714750" cy="7048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152400</xdr:rowOff>
    </xdr:from>
    <xdr:ext cx="4343400" cy="2686050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247650</xdr:colOff>
      <xdr:row>9</xdr:row>
      <xdr:rowOff>190500</xdr:rowOff>
    </xdr:from>
    <xdr:ext cx="3714750" cy="7048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</row>
    <row r="2" ht="14.25" customHeight="1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4</v>
      </c>
      <c r="H2" s="6" t="s">
        <v>6</v>
      </c>
      <c r="I2" s="6" t="s">
        <v>4</v>
      </c>
    </row>
    <row r="3" ht="14.25" customHeight="1">
      <c r="B3" s="7">
        <v>1.0</v>
      </c>
      <c r="C3" s="8">
        <v>3256.0</v>
      </c>
      <c r="D3" s="8"/>
      <c r="E3" s="8"/>
      <c r="F3" s="8"/>
      <c r="G3" s="8"/>
      <c r="H3" s="8"/>
      <c r="I3" s="8"/>
      <c r="N3" s="9" t="s">
        <v>7</v>
      </c>
      <c r="O3" s="3"/>
      <c r="P3" s="3"/>
      <c r="Q3" s="3"/>
      <c r="R3" s="3"/>
      <c r="S3" s="4"/>
    </row>
    <row r="4" ht="14.25" customHeight="1">
      <c r="B4" s="7">
        <v>2.0</v>
      </c>
      <c r="C4" s="8">
        <v>3315.0</v>
      </c>
      <c r="D4" s="8">
        <f>C3</f>
        <v>3256</v>
      </c>
      <c r="E4" s="8">
        <f t="shared" ref="E4:E26" si="1">C4-D4</f>
        <v>59</v>
      </c>
      <c r="F4" s="8">
        <f>C3</f>
        <v>3256</v>
      </c>
      <c r="G4" s="8">
        <f t="shared" ref="G4:G26" si="2">C4-F4</f>
        <v>59</v>
      </c>
      <c r="H4" s="8">
        <f>C3</f>
        <v>3256</v>
      </c>
      <c r="I4" s="8">
        <f t="shared" ref="I4:I26" si="3">C4-H4</f>
        <v>59</v>
      </c>
      <c r="N4" s="6" t="s">
        <v>1</v>
      </c>
      <c r="O4" s="10" t="s">
        <v>2</v>
      </c>
      <c r="P4" s="11" t="s">
        <v>5</v>
      </c>
      <c r="Q4" s="10" t="s">
        <v>4</v>
      </c>
      <c r="R4" s="12"/>
      <c r="S4" s="13"/>
    </row>
    <row r="5" ht="14.25" customHeight="1">
      <c r="B5" s="7">
        <v>3.0</v>
      </c>
      <c r="C5" s="8">
        <v>3006.0</v>
      </c>
      <c r="D5" s="14">
        <f t="shared" ref="D5:D26" si="4">D4+0.1*E4</f>
        <v>3261.9</v>
      </c>
      <c r="E5" s="14">
        <f t="shared" si="1"/>
        <v>-255.9</v>
      </c>
      <c r="F5" s="14">
        <f t="shared" ref="F5:F26" si="5">F4+0.5*G4</f>
        <v>3285.5</v>
      </c>
      <c r="G5" s="14">
        <f t="shared" si="2"/>
        <v>-279.5</v>
      </c>
      <c r="H5" s="14">
        <f t="shared" ref="H5:H26" si="6">H4+0.8*I4</f>
        <v>3303.2</v>
      </c>
      <c r="I5" s="14">
        <f t="shared" si="3"/>
        <v>-297.2</v>
      </c>
      <c r="N5" s="7">
        <v>1.0</v>
      </c>
      <c r="O5" s="15">
        <v>598.0</v>
      </c>
      <c r="P5" s="16"/>
      <c r="Q5" s="17"/>
      <c r="R5" s="12"/>
      <c r="S5" s="13"/>
    </row>
    <row r="6" ht="14.25" customHeight="1">
      <c r="B6" s="7">
        <v>4.0</v>
      </c>
      <c r="C6" s="8">
        <v>3560.0</v>
      </c>
      <c r="D6" s="14">
        <f t="shared" si="4"/>
        <v>3236.31</v>
      </c>
      <c r="E6" s="14">
        <f t="shared" si="1"/>
        <v>323.69</v>
      </c>
      <c r="F6" s="14">
        <f t="shared" si="5"/>
        <v>3145.75</v>
      </c>
      <c r="G6" s="14">
        <f t="shared" si="2"/>
        <v>414.25</v>
      </c>
      <c r="H6" s="14">
        <f t="shared" si="6"/>
        <v>3065.44</v>
      </c>
      <c r="I6" s="14">
        <f t="shared" si="3"/>
        <v>494.56</v>
      </c>
      <c r="N6" s="7">
        <v>2.0</v>
      </c>
      <c r="O6" s="15">
        <v>648.0</v>
      </c>
      <c r="P6" s="16">
        <f>O5</f>
        <v>598</v>
      </c>
      <c r="Q6" s="17">
        <f t="shared" ref="Q6:Q16" si="7">O6-P6</f>
        <v>50</v>
      </c>
      <c r="R6" s="12">
        <f>abs(50)</f>
        <v>50</v>
      </c>
      <c r="S6" s="13"/>
    </row>
    <row r="7" ht="14.25" customHeight="1">
      <c r="B7" s="7">
        <v>5.0</v>
      </c>
      <c r="C7" s="8">
        <v>3300.0</v>
      </c>
      <c r="D7" s="14">
        <f t="shared" si="4"/>
        <v>3268.679</v>
      </c>
      <c r="E7" s="14">
        <f t="shared" si="1"/>
        <v>31.321</v>
      </c>
      <c r="F7" s="14">
        <f t="shared" si="5"/>
        <v>3352.875</v>
      </c>
      <c r="G7" s="14">
        <f t="shared" si="2"/>
        <v>-52.875</v>
      </c>
      <c r="H7" s="14">
        <f t="shared" si="6"/>
        <v>3461.088</v>
      </c>
      <c r="I7" s="14">
        <f t="shared" si="3"/>
        <v>-161.088</v>
      </c>
      <c r="N7" s="7">
        <v>3.0</v>
      </c>
      <c r="O7" s="15">
        <v>556.0</v>
      </c>
      <c r="P7" s="18">
        <f t="shared" ref="P7:P16" si="8">P6+0.5*Q6</f>
        <v>623</v>
      </c>
      <c r="Q7" s="19">
        <f t="shared" si="7"/>
        <v>-67</v>
      </c>
      <c r="R7" s="20">
        <f>abs(-67)</f>
        <v>67</v>
      </c>
      <c r="S7" s="13"/>
    </row>
    <row r="8" ht="14.25" customHeight="1">
      <c r="B8" s="7">
        <v>6.0</v>
      </c>
      <c r="C8" s="8">
        <v>3051.0</v>
      </c>
      <c r="D8" s="14">
        <f t="shared" si="4"/>
        <v>3271.8111</v>
      </c>
      <c r="E8" s="14">
        <f t="shared" si="1"/>
        <v>-220.8111</v>
      </c>
      <c r="F8" s="14">
        <f t="shared" si="5"/>
        <v>3326.4375</v>
      </c>
      <c r="G8" s="14">
        <f t="shared" si="2"/>
        <v>-275.4375</v>
      </c>
      <c r="H8" s="14">
        <f t="shared" si="6"/>
        <v>3332.2176</v>
      </c>
      <c r="I8" s="14">
        <f t="shared" si="3"/>
        <v>-281.2176</v>
      </c>
      <c r="N8" s="7">
        <v>4.0</v>
      </c>
      <c r="O8" s="15">
        <v>522.0</v>
      </c>
      <c r="P8" s="18">
        <f t="shared" si="8"/>
        <v>589.5</v>
      </c>
      <c r="Q8" s="19">
        <f t="shared" si="7"/>
        <v>-67.5</v>
      </c>
      <c r="R8" s="21">
        <v>67.5</v>
      </c>
      <c r="S8" s="13"/>
    </row>
    <row r="9" ht="14.25" customHeight="1">
      <c r="B9" s="7">
        <v>7.0</v>
      </c>
      <c r="C9" s="8">
        <v>3425.0</v>
      </c>
      <c r="D9" s="14">
        <f t="shared" si="4"/>
        <v>3249.72999</v>
      </c>
      <c r="E9" s="14">
        <f t="shared" si="1"/>
        <v>175.27001</v>
      </c>
      <c r="F9" s="14">
        <f t="shared" si="5"/>
        <v>3188.71875</v>
      </c>
      <c r="G9" s="14">
        <f t="shared" si="2"/>
        <v>236.28125</v>
      </c>
      <c r="H9" s="14">
        <f t="shared" si="6"/>
        <v>3107.24352</v>
      </c>
      <c r="I9" s="14">
        <f t="shared" si="3"/>
        <v>317.75648</v>
      </c>
      <c r="N9" s="7">
        <v>5.0</v>
      </c>
      <c r="O9" s="15">
        <v>604.0</v>
      </c>
      <c r="P9" s="18">
        <f t="shared" si="8"/>
        <v>555.75</v>
      </c>
      <c r="Q9" s="19">
        <f t="shared" si="7"/>
        <v>48.25</v>
      </c>
      <c r="R9" s="20">
        <v>48.25</v>
      </c>
      <c r="S9" s="13"/>
    </row>
    <row r="10" ht="14.25" customHeight="1">
      <c r="B10" s="7">
        <v>8.0</v>
      </c>
      <c r="C10" s="8">
        <v>3703.0</v>
      </c>
      <c r="D10" s="14">
        <f t="shared" si="4"/>
        <v>3267.256991</v>
      </c>
      <c r="E10" s="14">
        <f t="shared" si="1"/>
        <v>435.743009</v>
      </c>
      <c r="F10" s="14">
        <f t="shared" si="5"/>
        <v>3306.859375</v>
      </c>
      <c r="G10" s="14">
        <f t="shared" si="2"/>
        <v>396.140625</v>
      </c>
      <c r="H10" s="14">
        <f t="shared" si="6"/>
        <v>3361.448704</v>
      </c>
      <c r="I10" s="14">
        <f t="shared" si="3"/>
        <v>341.551296</v>
      </c>
      <c r="N10" s="7">
        <v>6.0</v>
      </c>
      <c r="O10" s="15">
        <v>615.0</v>
      </c>
      <c r="P10" s="18">
        <f t="shared" si="8"/>
        <v>579.875</v>
      </c>
      <c r="Q10" s="19">
        <f t="shared" si="7"/>
        <v>35.125</v>
      </c>
      <c r="R10" s="20">
        <v>35.125</v>
      </c>
      <c r="S10" s="13"/>
    </row>
    <row r="11" ht="14.25" customHeight="1">
      <c r="B11" s="7">
        <v>9.0</v>
      </c>
      <c r="C11" s="8">
        <v>3240.0</v>
      </c>
      <c r="D11" s="14">
        <f t="shared" si="4"/>
        <v>3310.831292</v>
      </c>
      <c r="E11" s="14">
        <f t="shared" si="1"/>
        <v>-70.8312919</v>
      </c>
      <c r="F11" s="14">
        <f t="shared" si="5"/>
        <v>3504.929688</v>
      </c>
      <c r="G11" s="14">
        <f t="shared" si="2"/>
        <v>-264.9296875</v>
      </c>
      <c r="H11" s="14">
        <f t="shared" si="6"/>
        <v>3634.689741</v>
      </c>
      <c r="I11" s="14">
        <f t="shared" si="3"/>
        <v>-394.6897408</v>
      </c>
      <c r="N11" s="7">
        <v>7.0</v>
      </c>
      <c r="O11" s="15">
        <v>551.0</v>
      </c>
      <c r="P11" s="18">
        <f t="shared" si="8"/>
        <v>597.4375</v>
      </c>
      <c r="Q11" s="19">
        <f t="shared" si="7"/>
        <v>-46.4375</v>
      </c>
      <c r="R11" s="21">
        <v>46.4375</v>
      </c>
      <c r="S11" s="13"/>
    </row>
    <row r="12" ht="14.25" customHeight="1">
      <c r="B12" s="7">
        <v>10.0</v>
      </c>
      <c r="C12" s="8">
        <v>3231.0</v>
      </c>
      <c r="D12" s="14">
        <f t="shared" si="4"/>
        <v>3303.748163</v>
      </c>
      <c r="E12" s="14">
        <f t="shared" si="1"/>
        <v>-72.74816271</v>
      </c>
      <c r="F12" s="14">
        <f t="shared" si="5"/>
        <v>3372.464844</v>
      </c>
      <c r="G12" s="14">
        <f t="shared" si="2"/>
        <v>-141.4648438</v>
      </c>
      <c r="H12" s="14">
        <f t="shared" si="6"/>
        <v>3318.937948</v>
      </c>
      <c r="I12" s="14">
        <f t="shared" si="3"/>
        <v>-87.93794816</v>
      </c>
      <c r="N12" s="7">
        <v>8.0</v>
      </c>
      <c r="O12" s="15">
        <v>525.0</v>
      </c>
      <c r="P12" s="18">
        <f t="shared" si="8"/>
        <v>574.21875</v>
      </c>
      <c r="Q12" s="19">
        <f t="shared" si="7"/>
        <v>-49.21875</v>
      </c>
      <c r="R12" s="21">
        <v>49.21875</v>
      </c>
      <c r="S12" s="13"/>
    </row>
    <row r="13" ht="14.25" customHeight="1">
      <c r="B13" s="7">
        <v>11.0</v>
      </c>
      <c r="C13" s="8">
        <v>2887.0</v>
      </c>
      <c r="D13" s="14">
        <f t="shared" si="4"/>
        <v>3296.473346</v>
      </c>
      <c r="E13" s="14">
        <f t="shared" si="1"/>
        <v>-409.4733464</v>
      </c>
      <c r="F13" s="14">
        <f t="shared" si="5"/>
        <v>3301.732422</v>
      </c>
      <c r="G13" s="14">
        <f t="shared" si="2"/>
        <v>-414.7324219</v>
      </c>
      <c r="H13" s="14">
        <f t="shared" si="6"/>
        <v>3248.58759</v>
      </c>
      <c r="I13" s="14">
        <f t="shared" si="3"/>
        <v>-361.5875896</v>
      </c>
      <c r="N13" s="7">
        <v>9.0</v>
      </c>
      <c r="O13" s="15">
        <v>583.0</v>
      </c>
      <c r="P13" s="18">
        <f t="shared" si="8"/>
        <v>549.609375</v>
      </c>
      <c r="Q13" s="19">
        <f t="shared" si="7"/>
        <v>33.390625</v>
      </c>
      <c r="R13" s="20">
        <v>33.390625</v>
      </c>
      <c r="S13" s="13"/>
    </row>
    <row r="14" ht="14.25" customHeight="1">
      <c r="B14" s="7">
        <v>12.0</v>
      </c>
      <c r="C14" s="8">
        <v>3918.0</v>
      </c>
      <c r="D14" s="14">
        <f t="shared" si="4"/>
        <v>3255.526012</v>
      </c>
      <c r="E14" s="14">
        <f t="shared" si="1"/>
        <v>662.4739882</v>
      </c>
      <c r="F14" s="14">
        <f t="shared" si="5"/>
        <v>3094.366211</v>
      </c>
      <c r="G14" s="14">
        <f t="shared" si="2"/>
        <v>823.6337891</v>
      </c>
      <c r="H14" s="14">
        <f t="shared" si="6"/>
        <v>2959.317518</v>
      </c>
      <c r="I14" s="14">
        <f t="shared" si="3"/>
        <v>958.6824821</v>
      </c>
      <c r="N14" s="7">
        <v>10.0</v>
      </c>
      <c r="O14" s="15">
        <v>618.0</v>
      </c>
      <c r="P14" s="18">
        <f t="shared" si="8"/>
        <v>566.3046875</v>
      </c>
      <c r="Q14" s="19">
        <f t="shared" si="7"/>
        <v>51.6953125</v>
      </c>
      <c r="R14" s="20">
        <v>51.6953125</v>
      </c>
      <c r="S14" s="13"/>
    </row>
    <row r="15" ht="14.25" customHeight="1">
      <c r="B15" s="7">
        <v>13.0</v>
      </c>
      <c r="C15" s="8">
        <v>3271.0</v>
      </c>
      <c r="D15" s="14">
        <f t="shared" si="4"/>
        <v>3321.773411</v>
      </c>
      <c r="E15" s="14">
        <f t="shared" si="1"/>
        <v>-50.77341062</v>
      </c>
      <c r="F15" s="14">
        <f t="shared" si="5"/>
        <v>3506.183105</v>
      </c>
      <c r="G15" s="14">
        <f t="shared" si="2"/>
        <v>-235.1831055</v>
      </c>
      <c r="H15" s="14">
        <f t="shared" si="6"/>
        <v>3726.263504</v>
      </c>
      <c r="I15" s="14">
        <f t="shared" si="3"/>
        <v>-455.2635036</v>
      </c>
      <c r="N15" s="7">
        <v>11.0</v>
      </c>
      <c r="O15" s="15">
        <v>558.0</v>
      </c>
      <c r="P15" s="18">
        <f t="shared" si="8"/>
        <v>592.1523438</v>
      </c>
      <c r="Q15" s="19">
        <f t="shared" si="7"/>
        <v>-34.15234375</v>
      </c>
      <c r="R15" s="21">
        <v>34.15234375</v>
      </c>
      <c r="S15" s="13"/>
    </row>
    <row r="16" ht="14.25" customHeight="1">
      <c r="B16" s="7">
        <v>14.0</v>
      </c>
      <c r="C16" s="8">
        <v>3073.0</v>
      </c>
      <c r="D16" s="14">
        <f t="shared" si="4"/>
        <v>3316.69607</v>
      </c>
      <c r="E16" s="14">
        <f t="shared" si="1"/>
        <v>-243.6960696</v>
      </c>
      <c r="F16" s="14">
        <f t="shared" si="5"/>
        <v>3388.591553</v>
      </c>
      <c r="G16" s="14">
        <f t="shared" si="2"/>
        <v>-315.5915527</v>
      </c>
      <c r="H16" s="14">
        <f t="shared" si="6"/>
        <v>3362.052701</v>
      </c>
      <c r="I16" s="14">
        <f t="shared" si="3"/>
        <v>-289.0527007</v>
      </c>
      <c r="N16" s="7">
        <v>12.0</v>
      </c>
      <c r="O16" s="15">
        <v>528.0</v>
      </c>
      <c r="P16" s="18">
        <f t="shared" si="8"/>
        <v>575.0761719</v>
      </c>
      <c r="Q16" s="19">
        <f t="shared" si="7"/>
        <v>-47.07617188</v>
      </c>
      <c r="R16" s="21">
        <v>47.076171875</v>
      </c>
      <c r="S16" s="13"/>
    </row>
    <row r="17" ht="14.25" customHeight="1">
      <c r="B17" s="7">
        <v>15.0</v>
      </c>
      <c r="C17" s="8">
        <v>3396.0</v>
      </c>
      <c r="D17" s="14">
        <f t="shared" si="4"/>
        <v>3292.326463</v>
      </c>
      <c r="E17" s="14">
        <f t="shared" si="1"/>
        <v>103.6735374</v>
      </c>
      <c r="F17" s="14">
        <f t="shared" si="5"/>
        <v>3230.795776</v>
      </c>
      <c r="G17" s="14">
        <f t="shared" si="2"/>
        <v>165.2042236</v>
      </c>
      <c r="H17" s="14">
        <f t="shared" si="6"/>
        <v>3130.81054</v>
      </c>
      <c r="I17" s="14">
        <f t="shared" si="3"/>
        <v>265.1894599</v>
      </c>
      <c r="N17" s="17" t="s">
        <v>8</v>
      </c>
      <c r="O17" s="3"/>
      <c r="P17" s="22"/>
      <c r="Q17" s="14">
        <f>SUM(Q6:Q16)</f>
        <v>-92.92382813</v>
      </c>
      <c r="R17" s="14"/>
    </row>
    <row r="18" ht="14.25" customHeight="1">
      <c r="B18" s="7">
        <v>16.0</v>
      </c>
      <c r="C18" s="8">
        <v>3036.0</v>
      </c>
      <c r="D18" s="14">
        <f t="shared" si="4"/>
        <v>3302.693816</v>
      </c>
      <c r="E18" s="14">
        <f t="shared" si="1"/>
        <v>-266.6938163</v>
      </c>
      <c r="F18" s="14">
        <f t="shared" si="5"/>
        <v>3313.397888</v>
      </c>
      <c r="G18" s="14">
        <f t="shared" si="2"/>
        <v>-277.3978882</v>
      </c>
      <c r="H18" s="14">
        <f t="shared" si="6"/>
        <v>3342.962108</v>
      </c>
      <c r="I18" s="14">
        <f t="shared" si="3"/>
        <v>-306.962108</v>
      </c>
      <c r="N18" s="17" t="s">
        <v>9</v>
      </c>
      <c r="O18" s="3"/>
      <c r="P18" s="22"/>
      <c r="Q18" s="8"/>
      <c r="R18" s="14">
        <f>AVERAGE(R6:R16)</f>
        <v>48.16779119</v>
      </c>
    </row>
    <row r="19" ht="14.25" customHeight="1">
      <c r="B19" s="7">
        <v>17.0</v>
      </c>
      <c r="C19" s="8">
        <v>3196.0</v>
      </c>
      <c r="D19" s="14">
        <f t="shared" si="4"/>
        <v>3276.024435</v>
      </c>
      <c r="E19" s="14">
        <f t="shared" si="1"/>
        <v>-80.0244347</v>
      </c>
      <c r="F19" s="14">
        <f t="shared" si="5"/>
        <v>3174.698944</v>
      </c>
      <c r="G19" s="14">
        <f t="shared" si="2"/>
        <v>21.30105591</v>
      </c>
      <c r="H19" s="14">
        <f t="shared" si="6"/>
        <v>3097.392422</v>
      </c>
      <c r="I19" s="14">
        <f t="shared" si="3"/>
        <v>98.60757839</v>
      </c>
      <c r="P19" s="9" t="s">
        <v>10</v>
      </c>
      <c r="Q19" s="3"/>
      <c r="R19" s="3"/>
      <c r="S19" s="3"/>
      <c r="T19" s="3"/>
      <c r="U19" s="4"/>
    </row>
    <row r="20" ht="14.25" customHeight="1">
      <c r="B20" s="7">
        <v>18.0</v>
      </c>
      <c r="C20" s="8">
        <v>4106.0</v>
      </c>
      <c r="D20" s="14">
        <f t="shared" si="4"/>
        <v>3268.021991</v>
      </c>
      <c r="E20" s="14">
        <f t="shared" si="1"/>
        <v>837.9780088</v>
      </c>
      <c r="F20" s="14">
        <f t="shared" si="5"/>
        <v>3185.349472</v>
      </c>
      <c r="G20" s="14">
        <f t="shared" si="2"/>
        <v>920.650528</v>
      </c>
      <c r="H20" s="14">
        <f t="shared" si="6"/>
        <v>3176.278484</v>
      </c>
      <c r="I20" s="14">
        <f t="shared" si="3"/>
        <v>929.7215157</v>
      </c>
      <c r="P20" s="6" t="s">
        <v>1</v>
      </c>
      <c r="Q20" s="10" t="s">
        <v>2</v>
      </c>
      <c r="R20" s="11" t="s">
        <v>5</v>
      </c>
      <c r="S20" s="10" t="s">
        <v>4</v>
      </c>
      <c r="T20" s="17"/>
      <c r="U20" s="12"/>
    </row>
    <row r="21" ht="14.25" customHeight="1">
      <c r="B21" s="7">
        <v>19.0</v>
      </c>
      <c r="C21" s="8">
        <v>3449.0</v>
      </c>
      <c r="D21" s="14">
        <f t="shared" si="4"/>
        <v>3351.819792</v>
      </c>
      <c r="E21" s="14">
        <f t="shared" si="1"/>
        <v>97.18020789</v>
      </c>
      <c r="F21" s="14">
        <f t="shared" si="5"/>
        <v>3645.674736</v>
      </c>
      <c r="G21" s="14">
        <f t="shared" si="2"/>
        <v>-196.674736</v>
      </c>
      <c r="H21" s="14">
        <f t="shared" si="6"/>
        <v>3920.055697</v>
      </c>
      <c r="I21" s="14">
        <f t="shared" si="3"/>
        <v>-471.0556969</v>
      </c>
      <c r="P21" s="7">
        <v>1.0</v>
      </c>
      <c r="Q21" s="15">
        <v>307.0</v>
      </c>
      <c r="R21" s="16"/>
      <c r="S21" s="17"/>
      <c r="T21" s="17"/>
      <c r="U21" s="12"/>
    </row>
    <row r="22" ht="14.25" customHeight="1">
      <c r="B22" s="7">
        <v>20.0</v>
      </c>
      <c r="C22" s="8">
        <v>3913.0</v>
      </c>
      <c r="D22" s="14">
        <f t="shared" si="4"/>
        <v>3361.537813</v>
      </c>
      <c r="E22" s="14">
        <f t="shared" si="1"/>
        <v>551.4621871</v>
      </c>
      <c r="F22" s="14">
        <f t="shared" si="5"/>
        <v>3547.337368</v>
      </c>
      <c r="G22" s="14">
        <f t="shared" si="2"/>
        <v>365.662632</v>
      </c>
      <c r="H22" s="14">
        <f t="shared" si="6"/>
        <v>3543.211139</v>
      </c>
      <c r="I22" s="14">
        <f t="shared" si="3"/>
        <v>369.7888606</v>
      </c>
      <c r="P22" s="7">
        <v>2.0</v>
      </c>
      <c r="Q22" s="15">
        <v>319.0</v>
      </c>
      <c r="R22" s="16">
        <f>Q21</f>
        <v>307</v>
      </c>
      <c r="S22" s="17">
        <f t="shared" ref="S22:S23" si="9">Q22-R22</f>
        <v>12</v>
      </c>
      <c r="T22" s="17">
        <v>12.0</v>
      </c>
      <c r="U22" s="12"/>
    </row>
    <row r="23" ht="14.25" customHeight="1">
      <c r="B23" s="7">
        <v>21.0</v>
      </c>
      <c r="C23" s="8">
        <v>3324.0</v>
      </c>
      <c r="D23" s="14">
        <f t="shared" si="4"/>
        <v>3416.684032</v>
      </c>
      <c r="E23" s="14">
        <f t="shared" si="1"/>
        <v>-92.68403161</v>
      </c>
      <c r="F23" s="14">
        <f t="shared" si="5"/>
        <v>3730.168684</v>
      </c>
      <c r="G23" s="14">
        <f t="shared" si="2"/>
        <v>-406.168684</v>
      </c>
      <c r="H23" s="14">
        <f t="shared" si="6"/>
        <v>3839.042228</v>
      </c>
      <c r="I23" s="14">
        <f t="shared" si="3"/>
        <v>-515.0422279</v>
      </c>
      <c r="P23" s="7">
        <v>3.0</v>
      </c>
      <c r="Q23" s="15">
        <v>321.0</v>
      </c>
      <c r="R23" s="18">
        <f t="shared" ref="R23:R32" si="10">R22+0.5*S22</f>
        <v>313</v>
      </c>
      <c r="S23" s="19">
        <f t="shared" si="9"/>
        <v>8</v>
      </c>
      <c r="T23" s="19">
        <v>8.0</v>
      </c>
      <c r="U23" s="12"/>
    </row>
    <row r="24" ht="14.25" customHeight="1">
      <c r="B24" s="7">
        <v>22.0</v>
      </c>
      <c r="C24" s="8">
        <v>3277.0</v>
      </c>
      <c r="D24" s="14">
        <f t="shared" si="4"/>
        <v>3407.415628</v>
      </c>
      <c r="E24" s="14">
        <f t="shared" si="1"/>
        <v>-130.4156284</v>
      </c>
      <c r="F24" s="14">
        <f t="shared" si="5"/>
        <v>3527.084342</v>
      </c>
      <c r="G24" s="14">
        <f t="shared" si="2"/>
        <v>-250.084342</v>
      </c>
      <c r="H24" s="14">
        <f t="shared" si="6"/>
        <v>3427.008446</v>
      </c>
      <c r="I24" s="14">
        <f t="shared" si="3"/>
        <v>-150.0084456</v>
      </c>
      <c r="P24" s="7">
        <v>4.0</v>
      </c>
      <c r="Q24" s="15">
        <v>340.0</v>
      </c>
      <c r="R24" s="18">
        <f t="shared" si="10"/>
        <v>317</v>
      </c>
      <c r="S24" s="17">
        <v>12.0</v>
      </c>
      <c r="T24" s="17">
        <v>12.0</v>
      </c>
      <c r="U24" s="12"/>
    </row>
    <row r="25" ht="14.25" customHeight="1">
      <c r="B25" s="7">
        <v>23.0</v>
      </c>
      <c r="C25" s="8">
        <v>3204.0</v>
      </c>
      <c r="D25" s="14">
        <f t="shared" si="4"/>
        <v>3394.374066</v>
      </c>
      <c r="E25" s="14">
        <f t="shared" si="1"/>
        <v>-190.3740656</v>
      </c>
      <c r="F25" s="14">
        <f t="shared" si="5"/>
        <v>3402.042171</v>
      </c>
      <c r="G25" s="14">
        <f t="shared" si="2"/>
        <v>-198.042171</v>
      </c>
      <c r="H25" s="14">
        <f t="shared" si="6"/>
        <v>3307.001689</v>
      </c>
      <c r="I25" s="14">
        <f t="shared" si="3"/>
        <v>-103.0016891</v>
      </c>
      <c r="P25" s="7">
        <v>5.0</v>
      </c>
      <c r="Q25" s="15">
        <v>349.0</v>
      </c>
      <c r="R25" s="18">
        <f t="shared" si="10"/>
        <v>323</v>
      </c>
      <c r="S25" s="19">
        <f t="shared" ref="S25:S32" si="11">Q25-R25</f>
        <v>26</v>
      </c>
      <c r="T25" s="19">
        <v>26.0</v>
      </c>
      <c r="U25" s="12"/>
    </row>
    <row r="26" ht="14.25" customHeight="1">
      <c r="B26" s="7">
        <v>24.0</v>
      </c>
      <c r="C26" s="8">
        <v>4079.0</v>
      </c>
      <c r="D26" s="14">
        <f t="shared" si="4"/>
        <v>3375.336659</v>
      </c>
      <c r="E26" s="14">
        <f t="shared" si="1"/>
        <v>703.663341</v>
      </c>
      <c r="F26" s="14">
        <f t="shared" si="5"/>
        <v>3303.021086</v>
      </c>
      <c r="G26" s="14">
        <f t="shared" si="2"/>
        <v>775.9789145</v>
      </c>
      <c r="H26" s="14">
        <f t="shared" si="6"/>
        <v>3224.600338</v>
      </c>
      <c r="I26" s="14">
        <f t="shared" si="3"/>
        <v>854.3996622</v>
      </c>
      <c r="P26" s="7">
        <v>6.0</v>
      </c>
      <c r="Q26" s="15">
        <v>366.0</v>
      </c>
      <c r="R26" s="18">
        <f t="shared" si="10"/>
        <v>336</v>
      </c>
      <c r="S26" s="19">
        <f t="shared" si="11"/>
        <v>30</v>
      </c>
      <c r="T26" s="19">
        <v>30.0</v>
      </c>
      <c r="U26" s="12"/>
    </row>
    <row r="27" ht="14.25" customHeight="1">
      <c r="B27" s="17" t="s">
        <v>8</v>
      </c>
      <c r="C27" s="3"/>
      <c r="D27" s="22"/>
      <c r="E27" s="14">
        <f>SUM(E4:E26)</f>
        <v>1897.029931</v>
      </c>
      <c r="F27" s="14"/>
      <c r="G27" s="14">
        <f>SUM(G3:G26)</f>
        <v>870.0210855</v>
      </c>
      <c r="H27" s="14"/>
      <c r="I27" s="14">
        <f>SUM(I3:I26)</f>
        <v>815.1500845</v>
      </c>
      <c r="P27" s="7">
        <v>7.0</v>
      </c>
      <c r="Q27" s="15">
        <v>392.0</v>
      </c>
      <c r="R27" s="18">
        <f t="shared" si="10"/>
        <v>351</v>
      </c>
      <c r="S27" s="19">
        <f t="shared" si="11"/>
        <v>41</v>
      </c>
      <c r="T27" s="19">
        <v>41.0</v>
      </c>
      <c r="U27" s="12"/>
    </row>
    <row r="28" ht="14.25" customHeight="1">
      <c r="B28" s="17" t="s">
        <v>9</v>
      </c>
      <c r="C28" s="3"/>
      <c r="D28" s="22"/>
      <c r="E28" s="8"/>
      <c r="F28" s="8"/>
      <c r="G28" s="8"/>
      <c r="H28" s="8"/>
      <c r="I28" s="8"/>
      <c r="P28" s="7">
        <v>8.0</v>
      </c>
      <c r="Q28" s="15">
        <v>409.0</v>
      </c>
      <c r="R28" s="18">
        <f t="shared" si="10"/>
        <v>371.5</v>
      </c>
      <c r="S28" s="19">
        <f t="shared" si="11"/>
        <v>37.5</v>
      </c>
      <c r="T28" s="19">
        <v>37.5</v>
      </c>
      <c r="U28" s="12"/>
    </row>
    <row r="29" ht="14.25" customHeight="1">
      <c r="P29" s="7">
        <v>9.0</v>
      </c>
      <c r="Q29" s="15">
        <v>423.0</v>
      </c>
      <c r="R29" s="18">
        <f t="shared" si="10"/>
        <v>390.25</v>
      </c>
      <c r="S29" s="19">
        <f t="shared" si="11"/>
        <v>32.75</v>
      </c>
      <c r="T29" s="19">
        <v>32.75</v>
      </c>
      <c r="U29" s="12"/>
    </row>
    <row r="30" ht="14.25" customHeight="1">
      <c r="P30" s="7">
        <v>10.0</v>
      </c>
      <c r="Q30" s="15">
        <v>433.0</v>
      </c>
      <c r="R30" s="18">
        <f t="shared" si="10"/>
        <v>406.625</v>
      </c>
      <c r="S30" s="19">
        <f t="shared" si="11"/>
        <v>26.375</v>
      </c>
      <c r="T30" s="19">
        <v>26.375</v>
      </c>
      <c r="U30" s="12"/>
    </row>
    <row r="31" ht="14.25" customHeight="1">
      <c r="P31" s="7">
        <v>11.0</v>
      </c>
      <c r="Q31" s="15">
        <v>454.0</v>
      </c>
      <c r="R31" s="18">
        <f t="shared" si="10"/>
        <v>419.8125</v>
      </c>
      <c r="S31" s="19">
        <f t="shared" si="11"/>
        <v>34.1875</v>
      </c>
      <c r="T31" s="19">
        <v>34.1875</v>
      </c>
      <c r="U31" s="12"/>
    </row>
    <row r="32" ht="14.25" customHeight="1">
      <c r="P32" s="7">
        <v>12.0</v>
      </c>
      <c r="Q32" s="15">
        <v>472.0</v>
      </c>
      <c r="R32" s="18">
        <f t="shared" si="10"/>
        <v>436.90625</v>
      </c>
      <c r="S32" s="19">
        <f t="shared" si="11"/>
        <v>35.09375</v>
      </c>
      <c r="T32" s="19">
        <v>35.09375</v>
      </c>
      <c r="U32" s="12"/>
    </row>
    <row r="33" ht="14.25" customHeight="1">
      <c r="P33" s="17" t="s">
        <v>8</v>
      </c>
      <c r="Q33" s="3"/>
      <c r="R33" s="22"/>
      <c r="S33" s="14">
        <f>SUM(S10:S32)</f>
        <v>294.90625</v>
      </c>
      <c r="T33" s="14"/>
    </row>
    <row r="34" ht="14.25" customHeight="1">
      <c r="P34" s="17" t="s">
        <v>9</v>
      </c>
      <c r="Q34" s="3"/>
      <c r="R34" s="22"/>
      <c r="S34" s="8"/>
      <c r="T34" s="14">
        <f>AVERAGE(T22:T33)</f>
        <v>26.80965909</v>
      </c>
    </row>
    <row r="35" ht="14.25" customHeight="1">
      <c r="C35" s="23" t="s">
        <v>11</v>
      </c>
    </row>
    <row r="36" ht="14.25" customHeight="1">
      <c r="C36" s="23" t="s">
        <v>12</v>
      </c>
    </row>
    <row r="37" ht="14.25" customHeight="1">
      <c r="C37" s="23" t="s">
        <v>13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P33:R33"/>
    <mergeCell ref="P34:R34"/>
    <mergeCell ref="B1:I1"/>
    <mergeCell ref="N3:S3"/>
    <mergeCell ref="N17:P17"/>
    <mergeCell ref="N18:P18"/>
    <mergeCell ref="P19:U19"/>
    <mergeCell ref="B27:D27"/>
    <mergeCell ref="B28:D28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 ht="14.25" customHeight="1">
      <c r="B1" s="24" t="s">
        <v>14</v>
      </c>
      <c r="C1" s="3"/>
      <c r="D1" s="3"/>
      <c r="E1" s="3"/>
      <c r="F1" s="3"/>
      <c r="G1" s="3"/>
      <c r="H1" s="3"/>
      <c r="I1" s="3"/>
      <c r="J1" s="3"/>
      <c r="K1" s="4"/>
      <c r="L1" s="25"/>
      <c r="M1" s="26"/>
    </row>
    <row r="2" ht="14.25" customHeight="1">
      <c r="B2" s="27" t="s">
        <v>1</v>
      </c>
      <c r="C2" s="13" t="s">
        <v>2</v>
      </c>
      <c r="D2" s="28" t="s">
        <v>15</v>
      </c>
      <c r="E2" s="29" t="s">
        <v>4</v>
      </c>
      <c r="F2" s="13"/>
      <c r="G2" s="13" t="s">
        <v>16</v>
      </c>
      <c r="H2" s="28" t="s">
        <v>4</v>
      </c>
      <c r="I2" s="28"/>
      <c r="J2" s="28" t="s">
        <v>17</v>
      </c>
      <c r="K2" s="28" t="s">
        <v>4</v>
      </c>
      <c r="L2" s="30"/>
    </row>
    <row r="3" ht="14.25" customHeight="1">
      <c r="B3" s="7">
        <v>1.0</v>
      </c>
      <c r="C3" s="8">
        <v>3256.0</v>
      </c>
      <c r="D3" s="8"/>
      <c r="E3" s="8"/>
      <c r="F3" s="8"/>
      <c r="G3" s="8"/>
      <c r="H3" s="8"/>
      <c r="I3" s="8"/>
      <c r="J3" s="8"/>
      <c r="K3" s="8"/>
      <c r="L3" s="30"/>
    </row>
    <row r="4" ht="14.25" customHeight="1">
      <c r="B4" s="7">
        <v>2.0</v>
      </c>
      <c r="C4" s="8">
        <v>3315.0</v>
      </c>
      <c r="D4" s="8"/>
      <c r="E4" s="8"/>
      <c r="F4" s="8"/>
      <c r="G4" s="8"/>
      <c r="H4" s="8"/>
      <c r="I4" s="8"/>
      <c r="J4" s="8"/>
      <c r="K4" s="8"/>
      <c r="L4" s="30"/>
    </row>
    <row r="5" ht="14.25" customHeight="1">
      <c r="B5" s="7">
        <v>3.0</v>
      </c>
      <c r="C5" s="8">
        <v>3006.0</v>
      </c>
      <c r="D5" s="8"/>
      <c r="E5" s="8"/>
      <c r="F5" s="8"/>
      <c r="G5" s="8"/>
      <c r="H5" s="8"/>
      <c r="I5" s="8"/>
      <c r="J5" s="8"/>
      <c r="K5" s="8"/>
      <c r="L5" s="30"/>
    </row>
    <row r="6" ht="14.25" customHeight="1">
      <c r="B6" s="7">
        <v>4.0</v>
      </c>
      <c r="C6" s="8">
        <v>3560.0</v>
      </c>
      <c r="D6" s="14">
        <f t="shared" ref="D6:D26" si="1">AVERAGE(C3,C4,C5)</f>
        <v>3192.333333</v>
      </c>
      <c r="E6" s="14">
        <f t="shared" ref="E6:E26" si="2">C6-D6</f>
        <v>367.6666667</v>
      </c>
      <c r="F6" s="14">
        <f t="shared" ref="F6:F26" si="3">ABS(E6)</f>
        <v>367.6666667</v>
      </c>
      <c r="G6" s="8"/>
      <c r="H6" s="8"/>
      <c r="I6" s="8"/>
      <c r="J6" s="8"/>
      <c r="K6" s="8"/>
      <c r="L6" s="30"/>
    </row>
    <row r="7" ht="14.25" customHeight="1">
      <c r="B7" s="7">
        <v>5.0</v>
      </c>
      <c r="C7" s="8">
        <v>3300.0</v>
      </c>
      <c r="D7" s="14">
        <f t="shared" si="1"/>
        <v>3293.666667</v>
      </c>
      <c r="E7" s="14">
        <f t="shared" si="2"/>
        <v>6.333333333</v>
      </c>
      <c r="F7" s="14">
        <f t="shared" si="3"/>
        <v>6.333333333</v>
      </c>
      <c r="G7" s="8"/>
      <c r="H7" s="8"/>
      <c r="I7" s="8"/>
      <c r="J7" s="8"/>
      <c r="K7" s="8"/>
      <c r="L7" s="30"/>
    </row>
    <row r="8" ht="14.25" customHeight="1">
      <c r="B8" s="7">
        <v>6.0</v>
      </c>
      <c r="C8" s="8">
        <v>3051.0</v>
      </c>
      <c r="D8" s="14">
        <f t="shared" si="1"/>
        <v>3288.666667</v>
      </c>
      <c r="E8" s="14">
        <f t="shared" si="2"/>
        <v>-237.6666667</v>
      </c>
      <c r="F8" s="14">
        <f t="shared" si="3"/>
        <v>237.6666667</v>
      </c>
      <c r="G8" s="8"/>
      <c r="H8" s="8"/>
      <c r="I8" s="8"/>
      <c r="J8" s="8"/>
      <c r="K8" s="8"/>
      <c r="L8" s="30"/>
    </row>
    <row r="9" ht="14.25" customHeight="1">
      <c r="B9" s="7">
        <v>7.0</v>
      </c>
      <c r="C9" s="8">
        <v>3425.0</v>
      </c>
      <c r="D9" s="14">
        <f t="shared" si="1"/>
        <v>3303.666667</v>
      </c>
      <c r="E9" s="14">
        <f t="shared" si="2"/>
        <v>121.3333333</v>
      </c>
      <c r="F9" s="14">
        <f t="shared" si="3"/>
        <v>121.3333333</v>
      </c>
      <c r="G9" s="14">
        <f t="shared" ref="G9:G26" si="4">AVERAGE(C3:C8)</f>
        <v>3248</v>
      </c>
      <c r="H9" s="14">
        <f t="shared" ref="H9:H26" si="5">C9-G9</f>
        <v>177</v>
      </c>
      <c r="I9" s="8">
        <f t="shared" ref="I9:I26" si="6">ABS(H9)</f>
        <v>177</v>
      </c>
      <c r="J9" s="8"/>
      <c r="K9" s="8"/>
      <c r="L9" s="30"/>
    </row>
    <row r="10" ht="14.25" customHeight="1">
      <c r="B10" s="7">
        <v>8.0</v>
      </c>
      <c r="C10" s="8">
        <v>3703.0</v>
      </c>
      <c r="D10" s="14">
        <f t="shared" si="1"/>
        <v>3258.666667</v>
      </c>
      <c r="E10" s="14">
        <f t="shared" si="2"/>
        <v>444.3333333</v>
      </c>
      <c r="F10" s="14">
        <f t="shared" si="3"/>
        <v>444.3333333</v>
      </c>
      <c r="G10" s="14">
        <f t="shared" si="4"/>
        <v>3276.166667</v>
      </c>
      <c r="H10" s="14">
        <f t="shared" si="5"/>
        <v>426.8333333</v>
      </c>
      <c r="I10" s="14">
        <f t="shared" si="6"/>
        <v>426.8333333</v>
      </c>
      <c r="J10" s="8"/>
      <c r="K10" s="8"/>
      <c r="L10" s="30"/>
    </row>
    <row r="11" ht="14.25" customHeight="1">
      <c r="B11" s="7">
        <v>9.0</v>
      </c>
      <c r="C11" s="8">
        <v>3240.0</v>
      </c>
      <c r="D11" s="14">
        <f t="shared" si="1"/>
        <v>3393</v>
      </c>
      <c r="E11" s="14">
        <f t="shared" si="2"/>
        <v>-153</v>
      </c>
      <c r="F11" s="14">
        <f t="shared" si="3"/>
        <v>153</v>
      </c>
      <c r="G11" s="14">
        <f t="shared" si="4"/>
        <v>3340.833333</v>
      </c>
      <c r="H11" s="14">
        <f t="shared" si="5"/>
        <v>-100.8333333</v>
      </c>
      <c r="I11" s="14">
        <f t="shared" si="6"/>
        <v>100.8333333</v>
      </c>
      <c r="J11" s="8"/>
      <c r="K11" s="8"/>
      <c r="L11" s="30"/>
    </row>
    <row r="12" ht="14.25" customHeight="1">
      <c r="B12" s="7">
        <v>10.0</v>
      </c>
      <c r="C12" s="8">
        <v>3231.0</v>
      </c>
      <c r="D12" s="14">
        <f t="shared" si="1"/>
        <v>3456</v>
      </c>
      <c r="E12" s="14">
        <f t="shared" si="2"/>
        <v>-225</v>
      </c>
      <c r="F12" s="14">
        <f t="shared" si="3"/>
        <v>225</v>
      </c>
      <c r="G12" s="14">
        <f t="shared" si="4"/>
        <v>3379.833333</v>
      </c>
      <c r="H12" s="14">
        <f t="shared" si="5"/>
        <v>-148.8333333</v>
      </c>
      <c r="I12" s="14">
        <f t="shared" si="6"/>
        <v>148.8333333</v>
      </c>
      <c r="J12" s="8"/>
      <c r="K12" s="8"/>
      <c r="L12" s="30"/>
    </row>
    <row r="13" ht="14.25" customHeight="1">
      <c r="B13" s="7">
        <v>11.0</v>
      </c>
      <c r="C13" s="8">
        <v>2887.0</v>
      </c>
      <c r="D13" s="14">
        <f t="shared" si="1"/>
        <v>3391.333333</v>
      </c>
      <c r="E13" s="14">
        <f t="shared" si="2"/>
        <v>-504.3333333</v>
      </c>
      <c r="F13" s="14">
        <f t="shared" si="3"/>
        <v>504.3333333</v>
      </c>
      <c r="G13" s="14">
        <f t="shared" si="4"/>
        <v>3325</v>
      </c>
      <c r="H13" s="14">
        <f t="shared" si="5"/>
        <v>-438</v>
      </c>
      <c r="I13" s="14">
        <f t="shared" si="6"/>
        <v>438</v>
      </c>
      <c r="J13" s="8"/>
      <c r="K13" s="8"/>
      <c r="L13" s="30"/>
    </row>
    <row r="14" ht="14.25" customHeight="1">
      <c r="B14" s="7">
        <v>12.0</v>
      </c>
      <c r="C14" s="8">
        <v>3918.0</v>
      </c>
      <c r="D14" s="14">
        <f t="shared" si="1"/>
        <v>3119.333333</v>
      </c>
      <c r="E14" s="14">
        <f t="shared" si="2"/>
        <v>798.6666667</v>
      </c>
      <c r="F14" s="14">
        <f t="shared" si="3"/>
        <v>798.6666667</v>
      </c>
      <c r="G14" s="14">
        <f t="shared" si="4"/>
        <v>3256.166667</v>
      </c>
      <c r="H14" s="14">
        <f t="shared" si="5"/>
        <v>661.8333333</v>
      </c>
      <c r="I14" s="14">
        <f t="shared" si="6"/>
        <v>661.8333333</v>
      </c>
      <c r="J14" s="8"/>
      <c r="K14" s="8"/>
      <c r="L14" s="30"/>
    </row>
    <row r="15" ht="14.25" customHeight="1">
      <c r="B15" s="7">
        <v>13.0</v>
      </c>
      <c r="C15" s="8">
        <v>3271.0</v>
      </c>
      <c r="D15" s="14">
        <f t="shared" si="1"/>
        <v>3345.333333</v>
      </c>
      <c r="E15" s="14">
        <f t="shared" si="2"/>
        <v>-74.33333333</v>
      </c>
      <c r="F15" s="14">
        <f t="shared" si="3"/>
        <v>74.33333333</v>
      </c>
      <c r="G15" s="14">
        <f t="shared" si="4"/>
        <v>3400.666667</v>
      </c>
      <c r="H15" s="14">
        <f t="shared" si="5"/>
        <v>-129.6666667</v>
      </c>
      <c r="I15" s="14">
        <f t="shared" si="6"/>
        <v>129.6666667</v>
      </c>
      <c r="J15" s="14">
        <f t="shared" ref="J15:J26" si="7">AVERAGE(C3:C14)</f>
        <v>3324.333333</v>
      </c>
      <c r="K15" s="14">
        <f t="shared" ref="K15:K26" si="8">C15-J15</f>
        <v>-53.33333333</v>
      </c>
      <c r="L15" s="31">
        <f t="shared" ref="L15:L26" si="9">abs(K15)</f>
        <v>53.33333333</v>
      </c>
    </row>
    <row r="16" ht="14.25" customHeight="1">
      <c r="B16" s="7">
        <v>14.0</v>
      </c>
      <c r="C16" s="8">
        <v>3073.0</v>
      </c>
      <c r="D16" s="14">
        <f t="shared" si="1"/>
        <v>3358.666667</v>
      </c>
      <c r="E16" s="14">
        <f t="shared" si="2"/>
        <v>-285.6666667</v>
      </c>
      <c r="F16" s="14">
        <f t="shared" si="3"/>
        <v>285.6666667</v>
      </c>
      <c r="G16" s="14">
        <f t="shared" si="4"/>
        <v>3375</v>
      </c>
      <c r="H16" s="14">
        <f t="shared" si="5"/>
        <v>-302</v>
      </c>
      <c r="I16" s="14">
        <f t="shared" si="6"/>
        <v>302</v>
      </c>
      <c r="J16" s="14">
        <f t="shared" si="7"/>
        <v>3325.583333</v>
      </c>
      <c r="K16" s="14">
        <f t="shared" si="8"/>
        <v>-252.5833333</v>
      </c>
      <c r="L16" s="31">
        <f t="shared" si="9"/>
        <v>252.5833333</v>
      </c>
    </row>
    <row r="17" ht="14.25" customHeight="1">
      <c r="B17" s="7">
        <v>15.0</v>
      </c>
      <c r="C17" s="8">
        <v>3396.0</v>
      </c>
      <c r="D17" s="14">
        <f t="shared" si="1"/>
        <v>3420.666667</v>
      </c>
      <c r="E17" s="14">
        <f t="shared" si="2"/>
        <v>-24.66666667</v>
      </c>
      <c r="F17" s="14">
        <f t="shared" si="3"/>
        <v>24.66666667</v>
      </c>
      <c r="G17" s="14">
        <f t="shared" si="4"/>
        <v>3270</v>
      </c>
      <c r="H17" s="14">
        <f t="shared" si="5"/>
        <v>126</v>
      </c>
      <c r="I17" s="14">
        <f t="shared" si="6"/>
        <v>126</v>
      </c>
      <c r="J17" s="14">
        <f t="shared" si="7"/>
        <v>3305.416667</v>
      </c>
      <c r="K17" s="14">
        <f t="shared" si="8"/>
        <v>90.58333333</v>
      </c>
      <c r="L17" s="31">
        <f t="shared" si="9"/>
        <v>90.58333333</v>
      </c>
    </row>
    <row r="18" ht="14.25" customHeight="1">
      <c r="B18" s="7">
        <v>16.0</v>
      </c>
      <c r="C18" s="8">
        <v>3036.0</v>
      </c>
      <c r="D18" s="14">
        <f t="shared" si="1"/>
        <v>3246.666667</v>
      </c>
      <c r="E18" s="14">
        <f t="shared" si="2"/>
        <v>-210.6666667</v>
      </c>
      <c r="F18" s="14">
        <f t="shared" si="3"/>
        <v>210.6666667</v>
      </c>
      <c r="G18" s="14">
        <f t="shared" si="4"/>
        <v>3296</v>
      </c>
      <c r="H18" s="14">
        <f t="shared" si="5"/>
        <v>-260</v>
      </c>
      <c r="I18" s="14">
        <f t="shared" si="6"/>
        <v>260</v>
      </c>
      <c r="J18" s="14">
        <f t="shared" si="7"/>
        <v>3337.916667</v>
      </c>
      <c r="K18" s="14">
        <f t="shared" si="8"/>
        <v>-301.9166667</v>
      </c>
      <c r="L18" s="31">
        <f t="shared" si="9"/>
        <v>301.9166667</v>
      </c>
    </row>
    <row r="19" ht="14.25" customHeight="1">
      <c r="B19" s="7">
        <v>17.0</v>
      </c>
      <c r="C19" s="8">
        <v>3196.0</v>
      </c>
      <c r="D19" s="14">
        <f t="shared" si="1"/>
        <v>3168.333333</v>
      </c>
      <c r="E19" s="14">
        <f t="shared" si="2"/>
        <v>27.66666667</v>
      </c>
      <c r="F19" s="14">
        <f t="shared" si="3"/>
        <v>27.66666667</v>
      </c>
      <c r="G19" s="14">
        <f t="shared" si="4"/>
        <v>3263.5</v>
      </c>
      <c r="H19" s="14">
        <f t="shared" si="5"/>
        <v>-67.5</v>
      </c>
      <c r="I19" s="14">
        <f t="shared" si="6"/>
        <v>67.5</v>
      </c>
      <c r="J19" s="14">
        <f t="shared" si="7"/>
        <v>3294.25</v>
      </c>
      <c r="K19" s="14">
        <f t="shared" si="8"/>
        <v>-98.25</v>
      </c>
      <c r="L19" s="31">
        <f t="shared" si="9"/>
        <v>98.25</v>
      </c>
    </row>
    <row r="20" ht="14.25" customHeight="1">
      <c r="B20" s="7">
        <v>18.0</v>
      </c>
      <c r="C20" s="8">
        <v>4106.0</v>
      </c>
      <c r="D20" s="14">
        <f t="shared" si="1"/>
        <v>3209.333333</v>
      </c>
      <c r="E20" s="14">
        <f t="shared" si="2"/>
        <v>896.6666667</v>
      </c>
      <c r="F20" s="14">
        <f t="shared" si="3"/>
        <v>896.6666667</v>
      </c>
      <c r="G20" s="14">
        <f t="shared" si="4"/>
        <v>3315</v>
      </c>
      <c r="H20" s="14">
        <f t="shared" si="5"/>
        <v>791</v>
      </c>
      <c r="I20" s="14">
        <f t="shared" si="6"/>
        <v>791</v>
      </c>
      <c r="J20" s="14">
        <f t="shared" si="7"/>
        <v>3285.583333</v>
      </c>
      <c r="K20" s="14">
        <f t="shared" si="8"/>
        <v>820.4166667</v>
      </c>
      <c r="L20" s="31">
        <f t="shared" si="9"/>
        <v>820.4166667</v>
      </c>
    </row>
    <row r="21" ht="14.25" customHeight="1">
      <c r="B21" s="7">
        <v>19.0</v>
      </c>
      <c r="C21" s="8">
        <v>3449.0</v>
      </c>
      <c r="D21" s="14">
        <f t="shared" si="1"/>
        <v>3446</v>
      </c>
      <c r="E21" s="14">
        <f t="shared" si="2"/>
        <v>3</v>
      </c>
      <c r="F21" s="14">
        <f t="shared" si="3"/>
        <v>3</v>
      </c>
      <c r="G21" s="14">
        <f t="shared" si="4"/>
        <v>3346.333333</v>
      </c>
      <c r="H21" s="14">
        <f t="shared" si="5"/>
        <v>102.6666667</v>
      </c>
      <c r="I21" s="14">
        <f t="shared" si="6"/>
        <v>102.6666667</v>
      </c>
      <c r="J21" s="14">
        <f t="shared" si="7"/>
        <v>3373.5</v>
      </c>
      <c r="K21" s="14">
        <f t="shared" si="8"/>
        <v>75.5</v>
      </c>
      <c r="L21" s="31">
        <f t="shared" si="9"/>
        <v>75.5</v>
      </c>
    </row>
    <row r="22" ht="14.25" customHeight="1">
      <c r="B22" s="7">
        <v>20.0</v>
      </c>
      <c r="C22" s="8">
        <v>3913.0</v>
      </c>
      <c r="D22" s="14">
        <f t="shared" si="1"/>
        <v>3583.666667</v>
      </c>
      <c r="E22" s="14">
        <f t="shared" si="2"/>
        <v>329.3333333</v>
      </c>
      <c r="F22" s="14">
        <f t="shared" si="3"/>
        <v>329.3333333</v>
      </c>
      <c r="G22" s="14">
        <f t="shared" si="4"/>
        <v>3376</v>
      </c>
      <c r="H22" s="14">
        <f t="shared" si="5"/>
        <v>537</v>
      </c>
      <c r="I22" s="14">
        <f t="shared" si="6"/>
        <v>537</v>
      </c>
      <c r="J22" s="14">
        <f t="shared" si="7"/>
        <v>3375.5</v>
      </c>
      <c r="K22" s="14">
        <f t="shared" si="8"/>
        <v>537.5</v>
      </c>
      <c r="L22" s="31">
        <f t="shared" si="9"/>
        <v>537.5</v>
      </c>
    </row>
    <row r="23" ht="14.25" customHeight="1">
      <c r="B23" s="7">
        <v>21.0</v>
      </c>
      <c r="C23" s="8">
        <v>3324.0</v>
      </c>
      <c r="D23" s="14">
        <f t="shared" si="1"/>
        <v>3822.666667</v>
      </c>
      <c r="E23" s="14">
        <f t="shared" si="2"/>
        <v>-498.6666667</v>
      </c>
      <c r="F23" s="14">
        <f t="shared" si="3"/>
        <v>498.6666667</v>
      </c>
      <c r="G23" s="14">
        <f t="shared" si="4"/>
        <v>3516</v>
      </c>
      <c r="H23" s="14">
        <f t="shared" si="5"/>
        <v>-192</v>
      </c>
      <c r="I23" s="14">
        <f t="shared" si="6"/>
        <v>192</v>
      </c>
      <c r="J23" s="14">
        <f t="shared" si="7"/>
        <v>3393</v>
      </c>
      <c r="K23" s="14">
        <f t="shared" si="8"/>
        <v>-69</v>
      </c>
      <c r="L23" s="31">
        <f t="shared" si="9"/>
        <v>69</v>
      </c>
    </row>
    <row r="24" ht="14.25" customHeight="1">
      <c r="B24" s="7">
        <v>22.0</v>
      </c>
      <c r="C24" s="8">
        <v>3277.0</v>
      </c>
      <c r="D24" s="14">
        <f t="shared" si="1"/>
        <v>3562</v>
      </c>
      <c r="E24" s="14">
        <f t="shared" si="2"/>
        <v>-285</v>
      </c>
      <c r="F24" s="14">
        <f t="shared" si="3"/>
        <v>285</v>
      </c>
      <c r="G24" s="14">
        <f t="shared" si="4"/>
        <v>3504</v>
      </c>
      <c r="H24" s="14">
        <f t="shared" si="5"/>
        <v>-227</v>
      </c>
      <c r="I24" s="14">
        <f t="shared" si="6"/>
        <v>227</v>
      </c>
      <c r="J24" s="14">
        <f t="shared" si="7"/>
        <v>3400</v>
      </c>
      <c r="K24" s="14">
        <f t="shared" si="8"/>
        <v>-123</v>
      </c>
      <c r="L24" s="31">
        <f t="shared" si="9"/>
        <v>123</v>
      </c>
    </row>
    <row r="25" ht="14.25" customHeight="1">
      <c r="B25" s="7">
        <v>23.0</v>
      </c>
      <c r="C25" s="8">
        <v>3204.0</v>
      </c>
      <c r="D25" s="14">
        <f t="shared" si="1"/>
        <v>3504.666667</v>
      </c>
      <c r="E25" s="14">
        <f t="shared" si="2"/>
        <v>-300.6666667</v>
      </c>
      <c r="F25" s="14">
        <f t="shared" si="3"/>
        <v>300.6666667</v>
      </c>
      <c r="G25" s="14">
        <f t="shared" si="4"/>
        <v>3544.166667</v>
      </c>
      <c r="H25" s="14">
        <f t="shared" si="5"/>
        <v>-340.1666667</v>
      </c>
      <c r="I25" s="14">
        <f t="shared" si="6"/>
        <v>340.1666667</v>
      </c>
      <c r="J25" s="14">
        <f t="shared" si="7"/>
        <v>3403.833333</v>
      </c>
      <c r="K25" s="14">
        <f t="shared" si="8"/>
        <v>-199.8333333</v>
      </c>
      <c r="L25" s="31">
        <f t="shared" si="9"/>
        <v>199.8333333</v>
      </c>
    </row>
    <row r="26" ht="14.25" customHeight="1">
      <c r="B26" s="7">
        <v>24.0</v>
      </c>
      <c r="C26" s="8">
        <v>4079.0</v>
      </c>
      <c r="D26" s="14">
        <f t="shared" si="1"/>
        <v>3268.333333</v>
      </c>
      <c r="E26" s="14">
        <f t="shared" si="2"/>
        <v>810.6666667</v>
      </c>
      <c r="F26" s="14">
        <f t="shared" si="3"/>
        <v>810.6666667</v>
      </c>
      <c r="G26" s="14">
        <f t="shared" si="4"/>
        <v>3545.5</v>
      </c>
      <c r="H26" s="14">
        <f t="shared" si="5"/>
        <v>533.5</v>
      </c>
      <c r="I26" s="14">
        <f t="shared" si="6"/>
        <v>533.5</v>
      </c>
      <c r="J26" s="14">
        <f t="shared" si="7"/>
        <v>3430.25</v>
      </c>
      <c r="K26" s="14">
        <f t="shared" si="8"/>
        <v>648.75</v>
      </c>
      <c r="L26" s="31">
        <f t="shared" si="9"/>
        <v>648.75</v>
      </c>
    </row>
    <row r="27" ht="14.25" customHeight="1">
      <c r="B27" s="17" t="s">
        <v>8</v>
      </c>
      <c r="C27" s="3"/>
      <c r="D27" s="22"/>
      <c r="E27" s="14">
        <f>SUM(E15:E26)</f>
        <v>387.6666667</v>
      </c>
      <c r="F27" s="8"/>
      <c r="G27" s="8"/>
      <c r="H27" s="14">
        <f>SUM(H15:H26)</f>
        <v>571.8333333</v>
      </c>
      <c r="I27" s="14"/>
      <c r="J27" s="14"/>
      <c r="K27" s="14">
        <f>SUM(K15:K26)</f>
        <v>1074.833333</v>
      </c>
      <c r="L27" s="31"/>
    </row>
    <row r="28" ht="14.25" customHeight="1">
      <c r="B28" s="17" t="s">
        <v>18</v>
      </c>
      <c r="C28" s="3"/>
      <c r="D28" s="22"/>
      <c r="E28" s="8"/>
      <c r="F28" s="14">
        <f>AVERAGE(F15:F26)</f>
        <v>312.25</v>
      </c>
      <c r="G28" s="8"/>
      <c r="H28" s="8"/>
      <c r="I28" s="14">
        <f>AVERAGE(I15:I26)</f>
        <v>300.7083333</v>
      </c>
      <c r="J28" s="14"/>
      <c r="K28" s="8"/>
      <c r="L28" s="31">
        <f>AVERAGE(L15:L26)</f>
        <v>272.5555556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K1"/>
    <mergeCell ref="B27:D27"/>
    <mergeCell ref="B28:D2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10.71"/>
    <col customWidth="1" min="8" max="8" width="8.71"/>
    <col customWidth="1" min="9" max="9" width="11.86"/>
    <col customWidth="1" min="10" max="10" width="12.71"/>
    <col customWidth="1" min="11" max="11" width="13.86"/>
    <col customWidth="1" min="12" max="12" width="11.43"/>
    <col customWidth="1" min="13" max="13" width="12.0"/>
    <col customWidth="1" min="14" max="26" width="8.71"/>
  </cols>
  <sheetData>
    <row r="1" ht="14.25" customHeight="1">
      <c r="A1" s="1"/>
      <c r="B1" s="24" t="s">
        <v>19</v>
      </c>
      <c r="C1" s="3"/>
      <c r="D1" s="3"/>
      <c r="E1" s="3"/>
      <c r="F1" s="3"/>
      <c r="G1" s="4"/>
    </row>
    <row r="2" ht="14.25" customHeight="1">
      <c r="B2" s="32" t="s">
        <v>20</v>
      </c>
      <c r="C2" s="33" t="s">
        <v>21</v>
      </c>
      <c r="D2" s="34" t="s">
        <v>22</v>
      </c>
      <c r="E2" s="35" t="s">
        <v>23</v>
      </c>
      <c r="F2" s="33" t="s">
        <v>24</v>
      </c>
      <c r="G2" s="33" t="s">
        <v>4</v>
      </c>
      <c r="I2" s="32" t="s">
        <v>20</v>
      </c>
      <c r="J2" s="33" t="s">
        <v>21</v>
      </c>
      <c r="K2" s="34" t="s">
        <v>22</v>
      </c>
      <c r="L2" s="35" t="s">
        <v>23</v>
      </c>
      <c r="M2" s="33" t="s">
        <v>24</v>
      </c>
      <c r="N2" s="33" t="s">
        <v>4</v>
      </c>
    </row>
    <row r="3" ht="14.25" customHeight="1">
      <c r="B3" s="36"/>
      <c r="C3" s="37"/>
      <c r="D3" s="38" t="s">
        <v>25</v>
      </c>
      <c r="E3" s="39" t="s">
        <v>26</v>
      </c>
      <c r="F3" s="37"/>
      <c r="G3" s="37"/>
      <c r="I3" s="36"/>
      <c r="J3" s="37"/>
      <c r="K3" s="38" t="s">
        <v>25</v>
      </c>
      <c r="L3" s="39" t="s">
        <v>26</v>
      </c>
      <c r="M3" s="37"/>
      <c r="N3" s="37"/>
    </row>
    <row r="4" ht="14.25" customHeight="1">
      <c r="B4" s="8">
        <v>1.0</v>
      </c>
      <c r="C4" s="8">
        <v>3973.0</v>
      </c>
      <c r="D4" s="8"/>
      <c r="E4" s="8"/>
      <c r="F4" s="8"/>
      <c r="G4" s="8"/>
      <c r="I4" s="8">
        <v>1.0</v>
      </c>
      <c r="J4" s="40">
        <v>42.0</v>
      </c>
      <c r="K4" s="8"/>
      <c r="L4" s="8"/>
      <c r="M4" s="8"/>
      <c r="N4" s="8"/>
    </row>
    <row r="5" ht="14.25" customHeight="1">
      <c r="B5" s="8">
        <v>2.0</v>
      </c>
      <c r="C5" s="8">
        <v>3531.0</v>
      </c>
      <c r="D5" s="8"/>
      <c r="E5" s="8"/>
      <c r="F5" s="8"/>
      <c r="G5" s="8"/>
      <c r="I5" s="8">
        <v>2.0</v>
      </c>
      <c r="J5" s="40">
        <v>35.0</v>
      </c>
      <c r="K5" s="8"/>
      <c r="L5" s="8"/>
      <c r="M5" s="8"/>
      <c r="N5" s="8"/>
    </row>
    <row r="6" ht="14.25" customHeight="1">
      <c r="B6" s="8">
        <v>3.0</v>
      </c>
      <c r="C6" s="8">
        <v>3523.0</v>
      </c>
      <c r="D6" s="8">
        <f>C6</f>
        <v>3523</v>
      </c>
      <c r="E6" s="8">
        <f>(C6-C4)/2</f>
        <v>-225</v>
      </c>
      <c r="F6" s="8">
        <f t="shared" ref="F6:F27" si="1">D6+E6</f>
        <v>3298</v>
      </c>
      <c r="G6" s="8"/>
      <c r="I6" s="8">
        <v>3.0</v>
      </c>
      <c r="J6" s="40">
        <v>34.0</v>
      </c>
      <c r="K6" s="8">
        <f>J6</f>
        <v>34</v>
      </c>
      <c r="L6" s="8">
        <f>(J6-J4)/2</f>
        <v>-4</v>
      </c>
      <c r="M6" s="8">
        <f t="shared" ref="M6:M15" si="2">K6+L6</f>
        <v>30</v>
      </c>
      <c r="N6" s="8"/>
    </row>
    <row r="7" ht="14.25" customHeight="1">
      <c r="B7" s="8">
        <v>4.0</v>
      </c>
      <c r="C7" s="8">
        <v>3551.0</v>
      </c>
      <c r="D7" s="14">
        <f t="shared" ref="D7:D27" si="3">F6+0.7*G7</f>
        <v>3475.1</v>
      </c>
      <c r="E7" s="8">
        <f>(C6-C4)/2</f>
        <v>-225</v>
      </c>
      <c r="F7" s="14">
        <f t="shared" si="1"/>
        <v>3250.1</v>
      </c>
      <c r="G7" s="8">
        <f t="shared" ref="G7:G27" si="4">C7-F6</f>
        <v>253</v>
      </c>
      <c r="I7" s="8">
        <v>4.0</v>
      </c>
      <c r="J7" s="40">
        <v>33.0</v>
      </c>
      <c r="K7" s="14">
        <f t="shared" ref="K7:K15" si="5">M6+0.7*N7</f>
        <v>32.1</v>
      </c>
      <c r="L7" s="8">
        <f>(J6-J4)/2</f>
        <v>-4</v>
      </c>
      <c r="M7" s="14">
        <f t="shared" si="2"/>
        <v>28.1</v>
      </c>
      <c r="N7" s="8">
        <f t="shared" ref="N7:N15" si="6">J7-M6</f>
        <v>3</v>
      </c>
    </row>
    <row r="8" ht="14.25" customHeight="1">
      <c r="B8" s="8">
        <v>5.0</v>
      </c>
      <c r="C8" s="8">
        <v>3524.0</v>
      </c>
      <c r="D8" s="14">
        <f t="shared" si="3"/>
        <v>3441.83</v>
      </c>
      <c r="E8" s="14">
        <f t="shared" ref="E8:E27" si="7">E7+0.3*((F7-F6)-E7)</f>
        <v>-171.87</v>
      </c>
      <c r="F8" s="14">
        <f t="shared" si="1"/>
        <v>3269.96</v>
      </c>
      <c r="G8" s="14">
        <f t="shared" si="4"/>
        <v>273.9</v>
      </c>
      <c r="I8" s="8">
        <v>5.0</v>
      </c>
      <c r="J8" s="40">
        <v>31.0</v>
      </c>
      <c r="K8" s="14">
        <f t="shared" si="5"/>
        <v>30.13</v>
      </c>
      <c r="L8" s="14">
        <f t="shared" ref="L8:L15" si="8">L7+0.3*((M7-M6)-L7)</f>
        <v>-3.37</v>
      </c>
      <c r="M8" s="14">
        <f t="shared" si="2"/>
        <v>26.76</v>
      </c>
      <c r="N8" s="14">
        <f t="shared" si="6"/>
        <v>2.9</v>
      </c>
    </row>
    <row r="9" ht="14.25" customHeight="1">
      <c r="B9" s="8">
        <v>6.0</v>
      </c>
      <c r="C9" s="8">
        <v>3632.0</v>
      </c>
      <c r="D9" s="14">
        <f t="shared" si="3"/>
        <v>3523.388</v>
      </c>
      <c r="E9" s="14">
        <f t="shared" si="7"/>
        <v>-114.351</v>
      </c>
      <c r="F9" s="14">
        <f t="shared" si="1"/>
        <v>3409.037</v>
      </c>
      <c r="G9" s="14">
        <f t="shared" si="4"/>
        <v>362.04</v>
      </c>
      <c r="I9" s="8">
        <v>6.0</v>
      </c>
      <c r="J9" s="40">
        <v>32.0</v>
      </c>
      <c r="K9" s="14">
        <f t="shared" si="5"/>
        <v>30.428</v>
      </c>
      <c r="L9" s="14">
        <f t="shared" si="8"/>
        <v>-2.761</v>
      </c>
      <c r="M9" s="14">
        <f t="shared" si="2"/>
        <v>27.667</v>
      </c>
      <c r="N9" s="14">
        <f t="shared" si="6"/>
        <v>5.24</v>
      </c>
    </row>
    <row r="10" ht="14.25" customHeight="1">
      <c r="B10" s="8">
        <v>7.0</v>
      </c>
      <c r="C10" s="8">
        <v>3525.0</v>
      </c>
      <c r="D10" s="14">
        <f t="shared" si="3"/>
        <v>3490.2111</v>
      </c>
      <c r="E10" s="14">
        <f t="shared" si="7"/>
        <v>-38.3226</v>
      </c>
      <c r="F10" s="14">
        <f t="shared" si="1"/>
        <v>3451.8885</v>
      </c>
      <c r="G10" s="14">
        <f t="shared" si="4"/>
        <v>115.963</v>
      </c>
      <c r="I10" s="8">
        <v>7.0</v>
      </c>
      <c r="J10" s="40">
        <v>30.0</v>
      </c>
      <c r="K10" s="14">
        <f t="shared" si="5"/>
        <v>29.3001</v>
      </c>
      <c r="L10" s="14">
        <f t="shared" si="8"/>
        <v>-1.6606</v>
      </c>
      <c r="M10" s="14">
        <f t="shared" si="2"/>
        <v>27.6395</v>
      </c>
      <c r="N10" s="14">
        <f t="shared" si="6"/>
        <v>2.333</v>
      </c>
    </row>
    <row r="11" ht="14.25" customHeight="1">
      <c r="B11" s="8">
        <v>8.0</v>
      </c>
      <c r="C11" s="8">
        <v>3620.0</v>
      </c>
      <c r="D11" s="14">
        <f t="shared" si="3"/>
        <v>3569.56655</v>
      </c>
      <c r="E11" s="14">
        <f t="shared" si="7"/>
        <v>-13.97037</v>
      </c>
      <c r="F11" s="14">
        <f t="shared" si="1"/>
        <v>3555.59618</v>
      </c>
      <c r="G11" s="14">
        <f t="shared" si="4"/>
        <v>168.1115</v>
      </c>
      <c r="I11" s="8">
        <v>8.0</v>
      </c>
      <c r="J11" s="40">
        <v>27.0</v>
      </c>
      <c r="K11" s="14">
        <f t="shared" si="5"/>
        <v>27.19185</v>
      </c>
      <c r="L11" s="14">
        <f t="shared" si="8"/>
        <v>-1.17067</v>
      </c>
      <c r="M11" s="14">
        <f t="shared" si="2"/>
        <v>26.02118</v>
      </c>
      <c r="N11" s="14">
        <f t="shared" si="6"/>
        <v>-0.6395</v>
      </c>
    </row>
    <row r="12" ht="14.25" customHeight="1">
      <c r="B12" s="8">
        <v>9.0</v>
      </c>
      <c r="C12" s="8">
        <v>3159.0</v>
      </c>
      <c r="D12" s="14">
        <f t="shared" si="3"/>
        <v>3277.978854</v>
      </c>
      <c r="E12" s="14">
        <f t="shared" si="7"/>
        <v>21.333045</v>
      </c>
      <c r="F12" s="14">
        <f t="shared" si="1"/>
        <v>3299.311899</v>
      </c>
      <c r="G12" s="14">
        <f t="shared" si="4"/>
        <v>-396.59618</v>
      </c>
      <c r="I12" s="8">
        <v>9.0</v>
      </c>
      <c r="J12" s="40">
        <v>29.0</v>
      </c>
      <c r="K12" s="14">
        <f t="shared" si="5"/>
        <v>28.106354</v>
      </c>
      <c r="L12" s="14">
        <f t="shared" si="8"/>
        <v>-1.304965</v>
      </c>
      <c r="M12" s="14">
        <f t="shared" si="2"/>
        <v>26.801389</v>
      </c>
      <c r="N12" s="14">
        <f t="shared" si="6"/>
        <v>2.97882</v>
      </c>
    </row>
    <row r="13" ht="14.25" customHeight="1">
      <c r="B13" s="8">
        <v>10.0</v>
      </c>
      <c r="C13" s="8">
        <v>3084.0</v>
      </c>
      <c r="D13" s="14">
        <f t="shared" si="3"/>
        <v>3148.59357</v>
      </c>
      <c r="E13" s="14">
        <f t="shared" si="7"/>
        <v>-61.9521528</v>
      </c>
      <c r="F13" s="14">
        <f t="shared" si="1"/>
        <v>3086.641417</v>
      </c>
      <c r="G13" s="14">
        <f t="shared" si="4"/>
        <v>-215.311899</v>
      </c>
      <c r="I13" s="8">
        <v>10.0</v>
      </c>
      <c r="J13" s="40">
        <v>38.0</v>
      </c>
      <c r="K13" s="14">
        <f t="shared" si="5"/>
        <v>34.6404167</v>
      </c>
      <c r="L13" s="14">
        <f t="shared" si="8"/>
        <v>-0.6794128</v>
      </c>
      <c r="M13" s="14">
        <f t="shared" si="2"/>
        <v>33.9610039</v>
      </c>
      <c r="N13" s="14">
        <f t="shared" si="6"/>
        <v>11.198611</v>
      </c>
    </row>
    <row r="14" ht="14.25" customHeight="1">
      <c r="B14" s="8">
        <v>11.0</v>
      </c>
      <c r="C14" s="8">
        <v>3204.0</v>
      </c>
      <c r="D14" s="14">
        <f t="shared" si="3"/>
        <v>3168.792425</v>
      </c>
      <c r="E14" s="14">
        <f t="shared" si="7"/>
        <v>-107.1676516</v>
      </c>
      <c r="F14" s="14">
        <f t="shared" si="1"/>
        <v>3061.624773</v>
      </c>
      <c r="G14" s="14">
        <f t="shared" si="4"/>
        <v>117.3585831</v>
      </c>
      <c r="I14" s="8">
        <v>11.0</v>
      </c>
      <c r="J14" s="40">
        <v>35.0</v>
      </c>
      <c r="K14" s="14">
        <f t="shared" si="5"/>
        <v>34.68830117</v>
      </c>
      <c r="L14" s="14">
        <f t="shared" si="8"/>
        <v>1.67229551</v>
      </c>
      <c r="M14" s="14">
        <f t="shared" si="2"/>
        <v>36.36059668</v>
      </c>
      <c r="N14" s="14">
        <f t="shared" si="6"/>
        <v>1.0389961</v>
      </c>
    </row>
    <row r="15" ht="14.25" customHeight="1">
      <c r="B15" s="8">
        <v>12.0</v>
      </c>
      <c r="C15" s="8">
        <v>2826.0</v>
      </c>
      <c r="D15" s="14">
        <f t="shared" si="3"/>
        <v>2896.687432</v>
      </c>
      <c r="E15" s="14">
        <f t="shared" si="7"/>
        <v>-82.52234914</v>
      </c>
      <c r="F15" s="14">
        <f t="shared" si="1"/>
        <v>2814.165083</v>
      </c>
      <c r="G15" s="14">
        <f t="shared" si="4"/>
        <v>-235.6247735</v>
      </c>
      <c r="I15" s="8">
        <v>12.0</v>
      </c>
      <c r="J15" s="40">
        <v>29.0</v>
      </c>
      <c r="K15" s="14">
        <f t="shared" si="5"/>
        <v>31.208179</v>
      </c>
      <c r="L15" s="14">
        <f t="shared" si="8"/>
        <v>1.890484691</v>
      </c>
      <c r="M15" s="14">
        <f t="shared" si="2"/>
        <v>33.0986637</v>
      </c>
      <c r="N15" s="14">
        <f t="shared" si="6"/>
        <v>-7.36059668</v>
      </c>
    </row>
    <row r="16" ht="14.25" customHeight="1">
      <c r="B16" s="8">
        <v>13.0</v>
      </c>
      <c r="C16" s="8">
        <v>3188.0</v>
      </c>
      <c r="D16" s="14">
        <f t="shared" si="3"/>
        <v>3075.849525</v>
      </c>
      <c r="E16" s="14">
        <f t="shared" si="7"/>
        <v>-132.0035516</v>
      </c>
      <c r="F16" s="14">
        <f t="shared" si="1"/>
        <v>2943.845973</v>
      </c>
      <c r="G16" s="14">
        <f t="shared" si="4"/>
        <v>373.8349171</v>
      </c>
    </row>
    <row r="17" ht="14.25" customHeight="1">
      <c r="B17" s="8">
        <v>14.0</v>
      </c>
      <c r="C17" s="8">
        <v>2991.0</v>
      </c>
      <c r="D17" s="14">
        <f t="shared" si="3"/>
        <v>2976.853792</v>
      </c>
      <c r="E17" s="14">
        <f t="shared" si="7"/>
        <v>-53.49821898</v>
      </c>
      <c r="F17" s="14">
        <f t="shared" si="1"/>
        <v>2923.355573</v>
      </c>
      <c r="G17" s="14">
        <f t="shared" si="4"/>
        <v>47.1540267</v>
      </c>
    </row>
    <row r="18" ht="14.25" customHeight="1">
      <c r="B18" s="8">
        <v>15.0</v>
      </c>
      <c r="C18" s="8">
        <v>2633.0</v>
      </c>
      <c r="D18" s="14">
        <f t="shared" si="3"/>
        <v>2720.106672</v>
      </c>
      <c r="E18" s="14">
        <f t="shared" si="7"/>
        <v>-43.59587337</v>
      </c>
      <c r="F18" s="14">
        <f t="shared" si="1"/>
        <v>2676.510799</v>
      </c>
      <c r="G18" s="14">
        <f t="shared" si="4"/>
        <v>-290.355573</v>
      </c>
    </row>
    <row r="19" ht="14.25" customHeight="1">
      <c r="B19" s="8">
        <v>16.0</v>
      </c>
      <c r="C19" s="8">
        <v>2792.0</v>
      </c>
      <c r="D19" s="14">
        <f t="shared" si="3"/>
        <v>2757.35324</v>
      </c>
      <c r="E19" s="14">
        <f t="shared" si="7"/>
        <v>-104.5705437</v>
      </c>
      <c r="F19" s="14">
        <f t="shared" si="1"/>
        <v>2652.782696</v>
      </c>
      <c r="G19" s="14">
        <f t="shared" si="4"/>
        <v>115.4892015</v>
      </c>
    </row>
    <row r="20" ht="14.25" customHeight="1">
      <c r="B20" s="8">
        <v>17.0</v>
      </c>
      <c r="C20" s="8">
        <v>2779.0</v>
      </c>
      <c r="D20" s="14">
        <f t="shared" si="3"/>
        <v>2741.134809</v>
      </c>
      <c r="E20" s="14">
        <f t="shared" si="7"/>
        <v>-80.3178114</v>
      </c>
      <c r="F20" s="14">
        <f t="shared" si="1"/>
        <v>2660.816997</v>
      </c>
      <c r="G20" s="14">
        <f t="shared" si="4"/>
        <v>126.2173041</v>
      </c>
    </row>
    <row r="21" ht="14.25" customHeight="1">
      <c r="B21" s="8">
        <v>18.0</v>
      </c>
      <c r="C21" s="8">
        <v>2687.0</v>
      </c>
      <c r="D21" s="14">
        <f t="shared" si="3"/>
        <v>2679.145099</v>
      </c>
      <c r="E21" s="14">
        <f t="shared" si="7"/>
        <v>-53.81217753</v>
      </c>
      <c r="F21" s="14">
        <f t="shared" si="1"/>
        <v>2625.332922</v>
      </c>
      <c r="G21" s="14">
        <f t="shared" si="4"/>
        <v>26.18300264</v>
      </c>
    </row>
    <row r="22" ht="14.25" customHeight="1">
      <c r="B22" s="8">
        <v>19.0</v>
      </c>
      <c r="C22" s="8">
        <v>2457.0</v>
      </c>
      <c r="D22" s="14">
        <f t="shared" si="3"/>
        <v>2507.499877</v>
      </c>
      <c r="E22" s="14">
        <f t="shared" si="7"/>
        <v>-48.31374697</v>
      </c>
      <c r="F22" s="14">
        <f t="shared" si="1"/>
        <v>2459.18613</v>
      </c>
      <c r="G22" s="14">
        <f t="shared" si="4"/>
        <v>-168.3329217</v>
      </c>
    </row>
    <row r="23" ht="14.25" customHeight="1">
      <c r="B23" s="8">
        <v>20.0</v>
      </c>
      <c r="C23" s="8">
        <v>2361.0</v>
      </c>
      <c r="D23" s="14">
        <f t="shared" si="3"/>
        <v>2390.455839</v>
      </c>
      <c r="E23" s="14">
        <f t="shared" si="7"/>
        <v>-83.66366052</v>
      </c>
      <c r="F23" s="14">
        <f t="shared" si="1"/>
        <v>2306.792178</v>
      </c>
      <c r="G23" s="14">
        <f t="shared" si="4"/>
        <v>-98.18612953</v>
      </c>
    </row>
    <row r="24" ht="14.25" customHeight="1">
      <c r="B24" s="8">
        <v>21.0</v>
      </c>
      <c r="C24" s="8">
        <v>2474.0</v>
      </c>
      <c r="D24" s="14">
        <f t="shared" si="3"/>
        <v>2423.837654</v>
      </c>
      <c r="E24" s="14">
        <f t="shared" si="7"/>
        <v>-104.2827477</v>
      </c>
      <c r="F24" s="14">
        <f t="shared" si="1"/>
        <v>2319.554906</v>
      </c>
      <c r="G24" s="14">
        <f t="shared" si="4"/>
        <v>167.2078217</v>
      </c>
    </row>
    <row r="25" ht="14.25" customHeight="1">
      <c r="B25" s="8">
        <v>22.0</v>
      </c>
      <c r="C25" s="8">
        <v>2428.0</v>
      </c>
      <c r="D25" s="14">
        <f t="shared" si="3"/>
        <v>2395.466472</v>
      </c>
      <c r="E25" s="14">
        <f t="shared" si="7"/>
        <v>-69.16910518</v>
      </c>
      <c r="F25" s="14">
        <f t="shared" si="1"/>
        <v>2326.297367</v>
      </c>
      <c r="G25" s="14">
        <f t="shared" si="4"/>
        <v>108.4450942</v>
      </c>
    </row>
    <row r="26" ht="14.25" customHeight="1">
      <c r="B26" s="8">
        <v>23.0</v>
      </c>
      <c r="C26" s="8">
        <v>1965.0</v>
      </c>
      <c r="D26" s="14">
        <f t="shared" si="3"/>
        <v>2073.38921</v>
      </c>
      <c r="E26" s="14">
        <f t="shared" si="7"/>
        <v>-46.39563539</v>
      </c>
      <c r="F26" s="14">
        <f t="shared" si="1"/>
        <v>2026.993575</v>
      </c>
      <c r="G26" s="14">
        <f t="shared" si="4"/>
        <v>-361.2973666</v>
      </c>
    </row>
    <row r="27" ht="14.25" customHeight="1">
      <c r="B27" s="8">
        <v>24.0</v>
      </c>
      <c r="C27" s="8">
        <v>1949.0</v>
      </c>
      <c r="D27" s="14">
        <f t="shared" si="3"/>
        <v>1972.398072</v>
      </c>
      <c r="E27" s="14">
        <f t="shared" si="7"/>
        <v>-122.2680824</v>
      </c>
      <c r="F27" s="14">
        <f t="shared" si="1"/>
        <v>1850.12999</v>
      </c>
      <c r="G27" s="14">
        <f t="shared" si="4"/>
        <v>-77.99357458</v>
      </c>
    </row>
    <row r="28" ht="14.25" customHeight="1">
      <c r="B28" s="17" t="s">
        <v>27</v>
      </c>
      <c r="C28" s="3"/>
      <c r="D28" s="3"/>
      <c r="E28" s="3"/>
      <c r="F28" s="22"/>
      <c r="G28" s="41">
        <f>SUM(G7:G27)</f>
        <v>411.2060332</v>
      </c>
    </row>
    <row r="29" ht="14.25" customHeight="1">
      <c r="B29" s="17" t="s">
        <v>9</v>
      </c>
      <c r="C29" s="3"/>
      <c r="D29" s="3"/>
      <c r="E29" s="3"/>
      <c r="F29" s="22"/>
      <c r="G29" s="25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M2:M3"/>
    <mergeCell ref="N2:N3"/>
    <mergeCell ref="B28:F28"/>
    <mergeCell ref="B29:F29"/>
    <mergeCell ref="B1:G1"/>
    <mergeCell ref="B2:B3"/>
    <mergeCell ref="C2:C3"/>
    <mergeCell ref="F2:F3"/>
    <mergeCell ref="G2:G3"/>
    <mergeCell ref="I2:I3"/>
    <mergeCell ref="J2:J3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4.29"/>
    <col customWidth="1" min="11" max="13" width="8.71"/>
    <col customWidth="1" min="14" max="15" width="11.57"/>
    <col customWidth="1" min="16" max="16" width="8.71"/>
    <col customWidth="1" min="17" max="17" width="12.14"/>
    <col customWidth="1" min="18" max="24" width="8.71"/>
    <col customWidth="1" min="25" max="25" width="9.43"/>
    <col customWidth="1" min="26" max="26" width="8.71"/>
  </cols>
  <sheetData>
    <row r="1" ht="14.25" customHeight="1">
      <c r="B1" s="2" t="s">
        <v>28</v>
      </c>
      <c r="C1" s="3"/>
      <c r="D1" s="3"/>
      <c r="E1" s="4"/>
    </row>
    <row r="2" ht="14.25" customHeight="1">
      <c r="B2" s="6" t="s">
        <v>1</v>
      </c>
      <c r="C2" s="6" t="s">
        <v>2</v>
      </c>
      <c r="D2" s="6" t="s">
        <v>29</v>
      </c>
      <c r="E2" s="10" t="s">
        <v>30</v>
      </c>
      <c r="F2" s="42" t="s">
        <v>31</v>
      </c>
      <c r="G2" s="42" t="s">
        <v>32</v>
      </c>
      <c r="H2" s="42" t="s">
        <v>33</v>
      </c>
      <c r="O2" s="43" t="s">
        <v>34</v>
      </c>
      <c r="P2" s="43" t="s">
        <v>35</v>
      </c>
      <c r="Q2" s="6" t="s">
        <v>29</v>
      </c>
      <c r="R2" s="10" t="s">
        <v>30</v>
      </c>
      <c r="S2" s="42" t="s">
        <v>31</v>
      </c>
      <c r="T2" s="42" t="s">
        <v>32</v>
      </c>
    </row>
    <row r="3" ht="14.25" customHeight="1">
      <c r="B3" s="7">
        <v>1.0</v>
      </c>
      <c r="C3" s="8">
        <v>3973.0</v>
      </c>
      <c r="D3" s="8">
        <f t="shared" ref="D3:D26" si="1">B3*B3</f>
        <v>1</v>
      </c>
      <c r="E3" s="8"/>
      <c r="F3" s="31">
        <f t="shared" ref="F3:F26" si="2">-75.3*B3+3860</f>
        <v>3784.7</v>
      </c>
      <c r="G3" s="31">
        <f t="shared" ref="G3:G26" si="3">C3-F3</f>
        <v>188.3</v>
      </c>
      <c r="H3" s="31">
        <f t="shared" ref="H3:H26" si="4">ABS(G3)</f>
        <v>188.3</v>
      </c>
      <c r="O3" s="44">
        <v>1.0</v>
      </c>
      <c r="P3" s="40">
        <v>100.0</v>
      </c>
      <c r="Q3" s="8">
        <f t="shared" ref="Q3:Q6" si="5">O3*O3</f>
        <v>1</v>
      </c>
      <c r="R3" s="8">
        <f t="shared" ref="R3:R6" si="6">P3*O3</f>
        <v>100</v>
      </c>
      <c r="S3" s="31">
        <f t="shared" ref="S3:S7" si="7">$S$13+$S$12*O3</f>
        <v>100.1</v>
      </c>
      <c r="T3" s="31">
        <f t="shared" ref="T3:T6" si="8">P3-S3</f>
        <v>-0.1</v>
      </c>
    </row>
    <row r="4" ht="14.25" customHeight="1">
      <c r="B4" s="7">
        <v>2.0</v>
      </c>
      <c r="C4" s="8">
        <v>3531.0</v>
      </c>
      <c r="D4" s="8">
        <f t="shared" si="1"/>
        <v>4</v>
      </c>
      <c r="E4" s="8"/>
      <c r="F4" s="31">
        <f t="shared" si="2"/>
        <v>3709.4</v>
      </c>
      <c r="G4" s="31">
        <f t="shared" si="3"/>
        <v>-178.4</v>
      </c>
      <c r="H4" s="31">
        <f t="shared" si="4"/>
        <v>178.4</v>
      </c>
      <c r="O4" s="44">
        <v>2.0</v>
      </c>
      <c r="P4" s="40">
        <v>86.0</v>
      </c>
      <c r="Q4" s="8">
        <f t="shared" si="5"/>
        <v>4</v>
      </c>
      <c r="R4" s="8">
        <f t="shared" si="6"/>
        <v>172</v>
      </c>
      <c r="S4" s="31">
        <f t="shared" si="7"/>
        <v>83.7</v>
      </c>
      <c r="T4" s="31">
        <f t="shared" si="8"/>
        <v>2.3</v>
      </c>
    </row>
    <row r="5" ht="14.25" customHeight="1">
      <c r="B5" s="7">
        <v>3.0</v>
      </c>
      <c r="C5" s="8">
        <v>3523.0</v>
      </c>
      <c r="D5" s="8">
        <f t="shared" si="1"/>
        <v>9</v>
      </c>
      <c r="E5" s="8"/>
      <c r="F5" s="31">
        <f t="shared" si="2"/>
        <v>3634.1</v>
      </c>
      <c r="G5" s="31">
        <f t="shared" si="3"/>
        <v>-111.1</v>
      </c>
      <c r="H5" s="31">
        <f t="shared" si="4"/>
        <v>111.1</v>
      </c>
      <c r="O5" s="44">
        <v>3.0</v>
      </c>
      <c r="P5" s="40">
        <v>63.0</v>
      </c>
      <c r="Q5" s="8">
        <f t="shared" si="5"/>
        <v>9</v>
      </c>
      <c r="R5" s="8">
        <f t="shared" si="6"/>
        <v>189</v>
      </c>
      <c r="S5" s="31">
        <f t="shared" si="7"/>
        <v>67.3</v>
      </c>
      <c r="T5" s="31">
        <f t="shared" si="8"/>
        <v>-4.3</v>
      </c>
    </row>
    <row r="6" ht="14.25" customHeight="1">
      <c r="B6" s="7">
        <v>4.0</v>
      </c>
      <c r="C6" s="8">
        <v>3551.0</v>
      </c>
      <c r="D6" s="8">
        <f t="shared" si="1"/>
        <v>16</v>
      </c>
      <c r="E6" s="8"/>
      <c r="F6" s="31">
        <f t="shared" si="2"/>
        <v>3558.8</v>
      </c>
      <c r="G6" s="31">
        <f t="shared" si="3"/>
        <v>-7.8</v>
      </c>
      <c r="H6" s="31">
        <f t="shared" si="4"/>
        <v>7.8</v>
      </c>
      <c r="O6" s="45">
        <v>4.0</v>
      </c>
      <c r="P6" s="46">
        <v>53.0</v>
      </c>
      <c r="Q6" s="47">
        <f t="shared" si="5"/>
        <v>16</v>
      </c>
      <c r="R6" s="47">
        <f t="shared" si="6"/>
        <v>212</v>
      </c>
      <c r="S6" s="48">
        <f t="shared" si="7"/>
        <v>50.9</v>
      </c>
      <c r="T6" s="48">
        <f t="shared" si="8"/>
        <v>2.1</v>
      </c>
    </row>
    <row r="7" ht="14.25" customHeight="1">
      <c r="B7" s="7">
        <v>5.0</v>
      </c>
      <c r="C7" s="8">
        <v>3524.0</v>
      </c>
      <c r="D7" s="8">
        <f t="shared" si="1"/>
        <v>25</v>
      </c>
      <c r="E7" s="8"/>
      <c r="F7" s="31">
        <f t="shared" si="2"/>
        <v>3483.5</v>
      </c>
      <c r="G7" s="31">
        <f t="shared" si="3"/>
        <v>40.5</v>
      </c>
      <c r="H7" s="31">
        <f t="shared" si="4"/>
        <v>40.5</v>
      </c>
      <c r="Q7" s="23" t="s">
        <v>36</v>
      </c>
      <c r="S7" s="48">
        <f t="shared" si="7"/>
        <v>116.5</v>
      </c>
      <c r="T7" s="49"/>
    </row>
    <row r="8" ht="14.25" customHeight="1">
      <c r="B8" s="7">
        <v>6.0</v>
      </c>
      <c r="C8" s="8">
        <v>3632.0</v>
      </c>
      <c r="D8" s="8">
        <f t="shared" si="1"/>
        <v>36</v>
      </c>
      <c r="E8" s="8"/>
      <c r="F8" s="31">
        <f t="shared" si="2"/>
        <v>3408.2</v>
      </c>
      <c r="G8" s="31">
        <f t="shared" si="3"/>
        <v>223.8</v>
      </c>
      <c r="H8" s="31">
        <f t="shared" si="4"/>
        <v>223.8</v>
      </c>
      <c r="O8" s="7">
        <f>SUM(O3:O7)</f>
        <v>10</v>
      </c>
      <c r="P8" s="7">
        <f t="shared" ref="P8:R8" si="9">SUM(P3:P6)</f>
        <v>302</v>
      </c>
      <c r="Q8" s="7">
        <f t="shared" si="9"/>
        <v>30</v>
      </c>
      <c r="R8" s="7">
        <f t="shared" si="9"/>
        <v>673</v>
      </c>
      <c r="S8" s="50"/>
    </row>
    <row r="9" ht="14.25" customHeight="1">
      <c r="B9" s="7">
        <v>7.0</v>
      </c>
      <c r="C9" s="8">
        <v>3525.0</v>
      </c>
      <c r="D9" s="8">
        <f t="shared" si="1"/>
        <v>49</v>
      </c>
      <c r="E9" s="8"/>
      <c r="F9" s="31">
        <f t="shared" si="2"/>
        <v>3332.9</v>
      </c>
      <c r="G9" s="31">
        <f t="shared" si="3"/>
        <v>192.1</v>
      </c>
      <c r="H9" s="31">
        <f t="shared" si="4"/>
        <v>192.1</v>
      </c>
    </row>
    <row r="10" ht="14.25" customHeight="1">
      <c r="B10" s="7">
        <v>8.0</v>
      </c>
      <c r="C10" s="8">
        <v>3620.0</v>
      </c>
      <c r="D10" s="8">
        <f t="shared" si="1"/>
        <v>64</v>
      </c>
      <c r="E10" s="8"/>
      <c r="F10" s="31">
        <f t="shared" si="2"/>
        <v>3257.6</v>
      </c>
      <c r="G10" s="31">
        <f t="shared" si="3"/>
        <v>362.4</v>
      </c>
      <c r="H10" s="31">
        <f t="shared" si="4"/>
        <v>362.4</v>
      </c>
      <c r="N10" s="51"/>
      <c r="S10" s="50"/>
    </row>
    <row r="11" ht="14.25" customHeight="1">
      <c r="B11" s="7">
        <v>9.0</v>
      </c>
      <c r="C11" s="8">
        <v>3159.0</v>
      </c>
      <c r="D11" s="8">
        <f t="shared" si="1"/>
        <v>81</v>
      </c>
      <c r="E11" s="8"/>
      <c r="F11" s="31">
        <f t="shared" si="2"/>
        <v>3182.3</v>
      </c>
      <c r="G11" s="31">
        <f t="shared" si="3"/>
        <v>-23.3</v>
      </c>
      <c r="H11" s="31">
        <f t="shared" si="4"/>
        <v>23.3</v>
      </c>
      <c r="N11" s="51"/>
      <c r="O11" s="13"/>
      <c r="P11" s="13"/>
      <c r="Q11" s="13"/>
      <c r="R11" s="50"/>
    </row>
    <row r="12" ht="14.25" customHeight="1">
      <c r="B12" s="7">
        <v>10.0</v>
      </c>
      <c r="C12" s="8">
        <v>3084.0</v>
      </c>
      <c r="D12" s="8">
        <f t="shared" si="1"/>
        <v>100</v>
      </c>
      <c r="E12" s="8"/>
      <c r="F12" s="31">
        <f t="shared" si="2"/>
        <v>3107</v>
      </c>
      <c r="G12" s="31">
        <f t="shared" si="3"/>
        <v>-23</v>
      </c>
      <c r="H12" s="31">
        <f t="shared" si="4"/>
        <v>23</v>
      </c>
      <c r="N12" s="51"/>
      <c r="O12" s="13"/>
      <c r="P12" s="13"/>
      <c r="Q12" s="13"/>
      <c r="R12" s="52" t="s">
        <v>37</v>
      </c>
      <c r="S12" s="53">
        <f>(4*R8-(O8*P8))/(4*Q8-(O8*O8))</f>
        <v>-16.4</v>
      </c>
    </row>
    <row r="13" ht="14.25" customHeight="1">
      <c r="B13" s="7">
        <v>11.0</v>
      </c>
      <c r="C13" s="8">
        <v>3204.0</v>
      </c>
      <c r="D13" s="8">
        <f t="shared" si="1"/>
        <v>121</v>
      </c>
      <c r="E13" s="8"/>
      <c r="F13" s="31">
        <f t="shared" si="2"/>
        <v>3031.7</v>
      </c>
      <c r="G13" s="31">
        <f t="shared" si="3"/>
        <v>172.3</v>
      </c>
      <c r="H13" s="31">
        <f t="shared" si="4"/>
        <v>172.3</v>
      </c>
      <c r="N13" s="51"/>
      <c r="O13" s="13"/>
      <c r="P13" s="13"/>
      <c r="Q13" s="13"/>
      <c r="R13" s="52" t="s">
        <v>38</v>
      </c>
      <c r="S13" s="53">
        <f>(P8-S12*O8)/4</f>
        <v>116.5</v>
      </c>
    </row>
    <row r="14" ht="14.25" customHeight="1">
      <c r="B14" s="7">
        <v>12.0</v>
      </c>
      <c r="C14" s="8">
        <v>2826.0</v>
      </c>
      <c r="D14" s="8">
        <f t="shared" si="1"/>
        <v>144</v>
      </c>
      <c r="E14" s="8"/>
      <c r="F14" s="31">
        <f t="shared" si="2"/>
        <v>2956.4</v>
      </c>
      <c r="G14" s="31">
        <f t="shared" si="3"/>
        <v>-130.4</v>
      </c>
      <c r="H14" s="31">
        <f t="shared" si="4"/>
        <v>130.4</v>
      </c>
      <c r="N14" s="51"/>
      <c r="O14" s="13"/>
      <c r="P14" s="13"/>
      <c r="Q14" s="13"/>
      <c r="R14" s="50"/>
    </row>
    <row r="15" ht="14.25" customHeight="1">
      <c r="B15" s="7">
        <v>13.0</v>
      </c>
      <c r="C15" s="8">
        <v>3188.0</v>
      </c>
      <c r="D15" s="8">
        <f t="shared" si="1"/>
        <v>169</v>
      </c>
      <c r="E15" s="8"/>
      <c r="F15" s="31">
        <f t="shared" si="2"/>
        <v>2881.1</v>
      </c>
      <c r="G15" s="31">
        <f t="shared" si="3"/>
        <v>306.9</v>
      </c>
      <c r="H15" s="31">
        <f t="shared" si="4"/>
        <v>306.9</v>
      </c>
      <c r="N15" s="51"/>
      <c r="O15" s="13"/>
      <c r="P15" s="13"/>
      <c r="Q15" s="13"/>
      <c r="R15" s="50"/>
    </row>
    <row r="16" ht="14.25" customHeight="1">
      <c r="B16" s="7">
        <v>14.0</v>
      </c>
      <c r="C16" s="8">
        <v>2991.0</v>
      </c>
      <c r="D16" s="8">
        <f t="shared" si="1"/>
        <v>196</v>
      </c>
      <c r="E16" s="8"/>
      <c r="F16" s="31">
        <f t="shared" si="2"/>
        <v>2805.8</v>
      </c>
      <c r="G16" s="31">
        <f t="shared" si="3"/>
        <v>185.2</v>
      </c>
      <c r="H16" s="31">
        <f t="shared" si="4"/>
        <v>185.2</v>
      </c>
      <c r="N16" s="51"/>
      <c r="O16" s="13"/>
      <c r="P16" s="13"/>
      <c r="Q16" s="13"/>
      <c r="R16" s="50"/>
    </row>
    <row r="17" ht="14.25" customHeight="1">
      <c r="B17" s="7">
        <v>15.0</v>
      </c>
      <c r="C17" s="8">
        <v>2633.0</v>
      </c>
      <c r="D17" s="8">
        <f t="shared" si="1"/>
        <v>225</v>
      </c>
      <c r="E17" s="8"/>
      <c r="F17" s="31">
        <f t="shared" si="2"/>
        <v>2730.5</v>
      </c>
      <c r="G17" s="31">
        <f t="shared" si="3"/>
        <v>-97.5</v>
      </c>
      <c r="H17" s="31">
        <f t="shared" si="4"/>
        <v>97.5</v>
      </c>
      <c r="N17" s="51"/>
      <c r="O17" s="13"/>
      <c r="P17" s="13"/>
      <c r="Q17" s="13"/>
      <c r="R17" s="50"/>
    </row>
    <row r="18" ht="14.25" customHeight="1">
      <c r="B18" s="7">
        <v>16.0</v>
      </c>
      <c r="C18" s="8">
        <v>2792.0</v>
      </c>
      <c r="D18" s="8">
        <f t="shared" si="1"/>
        <v>256</v>
      </c>
      <c r="E18" s="8"/>
      <c r="F18" s="31">
        <f t="shared" si="2"/>
        <v>2655.2</v>
      </c>
      <c r="G18" s="31">
        <f t="shared" si="3"/>
        <v>136.8</v>
      </c>
      <c r="H18" s="31">
        <f t="shared" si="4"/>
        <v>136.8</v>
      </c>
      <c r="N18" s="51"/>
      <c r="O18" s="13"/>
      <c r="P18" s="13"/>
      <c r="Q18" s="13"/>
      <c r="R18" s="50"/>
    </row>
    <row r="19" ht="14.25" customHeight="1">
      <c r="B19" s="7">
        <v>17.0</v>
      </c>
      <c r="C19" s="8">
        <v>2779.0</v>
      </c>
      <c r="D19" s="8">
        <f t="shared" si="1"/>
        <v>289</v>
      </c>
      <c r="E19" s="8"/>
      <c r="F19" s="31">
        <f t="shared" si="2"/>
        <v>2579.9</v>
      </c>
      <c r="G19" s="31">
        <f t="shared" si="3"/>
        <v>199.1</v>
      </c>
      <c r="H19" s="31">
        <f t="shared" si="4"/>
        <v>199.1</v>
      </c>
      <c r="N19" s="51"/>
      <c r="O19" s="13"/>
      <c r="P19" s="13"/>
      <c r="Q19" s="13"/>
      <c r="R19" s="50"/>
    </row>
    <row r="20" ht="14.25" customHeight="1">
      <c r="B20" s="7">
        <v>18.0</v>
      </c>
      <c r="C20" s="8">
        <v>2687.0</v>
      </c>
      <c r="D20" s="8">
        <f t="shared" si="1"/>
        <v>324</v>
      </c>
      <c r="E20" s="8"/>
      <c r="F20" s="31">
        <f t="shared" si="2"/>
        <v>2504.6</v>
      </c>
      <c r="G20" s="31">
        <f t="shared" si="3"/>
        <v>182.4</v>
      </c>
      <c r="H20" s="31">
        <f t="shared" si="4"/>
        <v>182.4</v>
      </c>
      <c r="N20" s="51"/>
      <c r="O20" s="13"/>
      <c r="P20" s="13"/>
      <c r="Q20" s="13"/>
      <c r="R20" s="50"/>
    </row>
    <row r="21" ht="14.25" customHeight="1">
      <c r="B21" s="7">
        <v>19.0</v>
      </c>
      <c r="C21" s="8">
        <v>2457.0</v>
      </c>
      <c r="D21" s="8">
        <f t="shared" si="1"/>
        <v>361</v>
      </c>
      <c r="E21" s="8"/>
      <c r="F21" s="31">
        <f t="shared" si="2"/>
        <v>2429.3</v>
      </c>
      <c r="G21" s="31">
        <f t="shared" si="3"/>
        <v>27.7</v>
      </c>
      <c r="H21" s="31">
        <f t="shared" si="4"/>
        <v>27.7</v>
      </c>
      <c r="N21" s="51"/>
      <c r="O21" s="13"/>
      <c r="P21" s="13"/>
      <c r="Q21" s="13"/>
      <c r="R21" s="50"/>
    </row>
    <row r="22" ht="14.25" customHeight="1">
      <c r="B22" s="7">
        <v>20.0</v>
      </c>
      <c r="C22" s="8">
        <v>2361.0</v>
      </c>
      <c r="D22" s="8">
        <f t="shared" si="1"/>
        <v>400</v>
      </c>
      <c r="E22" s="8"/>
      <c r="F22" s="31">
        <f t="shared" si="2"/>
        <v>2354</v>
      </c>
      <c r="G22" s="31">
        <f t="shared" si="3"/>
        <v>7</v>
      </c>
      <c r="H22" s="31">
        <f t="shared" si="4"/>
        <v>7</v>
      </c>
      <c r="N22" s="51"/>
      <c r="O22" s="13"/>
      <c r="P22" s="13"/>
      <c r="Q22" s="13"/>
      <c r="R22" s="50"/>
    </row>
    <row r="23" ht="14.25" customHeight="1">
      <c r="B23" s="7">
        <v>21.0</v>
      </c>
      <c r="C23" s="8">
        <v>2474.0</v>
      </c>
      <c r="D23" s="8">
        <f t="shared" si="1"/>
        <v>441</v>
      </c>
      <c r="E23" s="8"/>
      <c r="F23" s="31">
        <f t="shared" si="2"/>
        <v>2278.7</v>
      </c>
      <c r="G23" s="31">
        <f t="shared" si="3"/>
        <v>195.3</v>
      </c>
      <c r="H23" s="31">
        <f t="shared" si="4"/>
        <v>195.3</v>
      </c>
      <c r="N23" s="51"/>
      <c r="O23" s="13"/>
      <c r="P23" s="13"/>
      <c r="Q23" s="13"/>
      <c r="R23" s="50"/>
    </row>
    <row r="24" ht="14.25" customHeight="1">
      <c r="B24" s="7">
        <v>22.0</v>
      </c>
      <c r="C24" s="8">
        <v>2428.0</v>
      </c>
      <c r="D24" s="8">
        <f t="shared" si="1"/>
        <v>484</v>
      </c>
      <c r="E24" s="8"/>
      <c r="F24" s="31">
        <f t="shared" si="2"/>
        <v>2203.4</v>
      </c>
      <c r="G24" s="31">
        <f t="shared" si="3"/>
        <v>224.6</v>
      </c>
      <c r="H24" s="31">
        <f t="shared" si="4"/>
        <v>224.6</v>
      </c>
      <c r="N24" s="51"/>
      <c r="O24" s="13"/>
      <c r="P24" s="13"/>
      <c r="Q24" s="13"/>
      <c r="R24" s="50"/>
    </row>
    <row r="25" ht="14.25" customHeight="1">
      <c r="B25" s="7">
        <v>23.0</v>
      </c>
      <c r="C25" s="8">
        <v>1965.0</v>
      </c>
      <c r="D25" s="8">
        <f t="shared" si="1"/>
        <v>529</v>
      </c>
      <c r="E25" s="8"/>
      <c r="F25" s="31">
        <f t="shared" si="2"/>
        <v>2128.1</v>
      </c>
      <c r="G25" s="31">
        <f t="shared" si="3"/>
        <v>-163.1</v>
      </c>
      <c r="H25" s="31">
        <f t="shared" si="4"/>
        <v>163.1</v>
      </c>
      <c r="N25" s="51"/>
      <c r="O25" s="13"/>
      <c r="P25" s="13"/>
      <c r="Q25" s="13"/>
      <c r="R25" s="50"/>
    </row>
    <row r="26" ht="14.25" customHeight="1">
      <c r="B26" s="7">
        <v>24.0</v>
      </c>
      <c r="C26" s="8">
        <v>1949.0</v>
      </c>
      <c r="D26" s="8">
        <f t="shared" si="1"/>
        <v>576</v>
      </c>
      <c r="E26" s="8"/>
      <c r="F26" s="31">
        <f t="shared" si="2"/>
        <v>2052.8</v>
      </c>
      <c r="G26" s="31">
        <f t="shared" si="3"/>
        <v>-103.8</v>
      </c>
      <c r="H26" s="31">
        <f t="shared" si="4"/>
        <v>103.8</v>
      </c>
      <c r="N26" s="51"/>
      <c r="O26" s="13"/>
      <c r="P26" s="13"/>
      <c r="Q26" s="13"/>
      <c r="R26" s="50"/>
    </row>
    <row r="27" ht="14.25" customHeight="1">
      <c r="E27" s="54" t="s">
        <v>39</v>
      </c>
      <c r="F27" s="30"/>
      <c r="G27" s="31">
        <f>SUM(G3:G26)</f>
        <v>1806</v>
      </c>
      <c r="H27" s="31"/>
    </row>
    <row r="28" ht="14.25" customHeight="1">
      <c r="E28" s="54" t="s">
        <v>9</v>
      </c>
      <c r="F28" s="30"/>
      <c r="G28" s="30"/>
      <c r="H28" s="31">
        <f>AVERAGE(H3:H26)</f>
        <v>145.1166667</v>
      </c>
    </row>
    <row r="29" ht="14.25" customHeight="1"/>
    <row r="30" ht="14.2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</row>
    <row r="31" ht="14.25" customHeight="1"/>
    <row r="32" ht="14.25" customHeight="1"/>
    <row r="33" ht="14.25" customHeight="1"/>
    <row r="34" ht="14.25" customHeight="1">
      <c r="W34" s="56"/>
      <c r="X34" s="56"/>
      <c r="Y34" s="56"/>
    </row>
    <row r="35" ht="14.25" customHeight="1">
      <c r="B35" s="57" t="s">
        <v>1</v>
      </c>
      <c r="C35" s="58" t="s">
        <v>2</v>
      </c>
      <c r="D35" s="59" t="s">
        <v>29</v>
      </c>
      <c r="E35" s="59" t="s">
        <v>30</v>
      </c>
      <c r="F35" s="60" t="s">
        <v>31</v>
      </c>
      <c r="G35" s="60" t="s">
        <v>4</v>
      </c>
      <c r="H35" s="60" t="s">
        <v>9</v>
      </c>
      <c r="W35" s="56"/>
      <c r="X35" s="56"/>
      <c r="Y35" s="56"/>
    </row>
    <row r="36" ht="14.25" customHeight="1">
      <c r="B36" s="7">
        <v>1.0</v>
      </c>
      <c r="C36" s="15">
        <v>598.0</v>
      </c>
      <c r="D36" s="61"/>
      <c r="E36" s="61"/>
      <c r="F36" s="62">
        <f t="shared" ref="F36:F47" si="10">-3.99*B36+601</f>
        <v>597.01</v>
      </c>
      <c r="G36" s="62">
        <f t="shared" ref="G36:G47" si="11">C36-F36</f>
        <v>0.99</v>
      </c>
      <c r="H36" s="62">
        <f t="shared" ref="H36:H47" si="12">ABS(G36)</f>
        <v>0.99</v>
      </c>
    </row>
    <row r="37" ht="14.25" customHeight="1">
      <c r="B37" s="7">
        <v>2.0</v>
      </c>
      <c r="C37" s="15">
        <v>648.0</v>
      </c>
      <c r="D37" s="61"/>
      <c r="E37" s="61"/>
      <c r="F37" s="62">
        <f t="shared" si="10"/>
        <v>593.02</v>
      </c>
      <c r="G37" s="62">
        <f t="shared" si="11"/>
        <v>54.98</v>
      </c>
      <c r="H37" s="62">
        <f t="shared" si="12"/>
        <v>54.98</v>
      </c>
    </row>
    <row r="38" ht="14.25" customHeight="1">
      <c r="B38" s="7">
        <v>3.0</v>
      </c>
      <c r="C38" s="15">
        <v>556.0</v>
      </c>
      <c r="D38" s="61"/>
      <c r="E38" s="61"/>
      <c r="F38" s="62">
        <f t="shared" si="10"/>
        <v>589.03</v>
      </c>
      <c r="G38" s="62">
        <f t="shared" si="11"/>
        <v>-33.03</v>
      </c>
      <c r="H38" s="62">
        <f t="shared" si="12"/>
        <v>33.03</v>
      </c>
      <c r="W38" s="56"/>
      <c r="X38" s="56"/>
      <c r="Y38" s="56"/>
    </row>
    <row r="39" ht="14.25" customHeight="1">
      <c r="B39" s="7">
        <v>4.0</v>
      </c>
      <c r="C39" s="15">
        <v>522.0</v>
      </c>
      <c r="D39" s="61"/>
      <c r="E39" s="61"/>
      <c r="F39" s="62">
        <f t="shared" si="10"/>
        <v>585.04</v>
      </c>
      <c r="G39" s="62">
        <f t="shared" si="11"/>
        <v>-63.04</v>
      </c>
      <c r="H39" s="62">
        <f t="shared" si="12"/>
        <v>63.04</v>
      </c>
      <c r="W39" s="63"/>
      <c r="X39" s="64"/>
      <c r="Y39" s="64"/>
    </row>
    <row r="40" ht="14.25" customHeight="1">
      <c r="B40" s="7">
        <v>5.0</v>
      </c>
      <c r="C40" s="15">
        <v>604.0</v>
      </c>
      <c r="D40" s="61"/>
      <c r="E40" s="61"/>
      <c r="F40" s="62">
        <f t="shared" si="10"/>
        <v>581.05</v>
      </c>
      <c r="G40" s="62">
        <f t="shared" si="11"/>
        <v>22.95</v>
      </c>
      <c r="H40" s="62">
        <f t="shared" si="12"/>
        <v>22.95</v>
      </c>
      <c r="W40" s="64"/>
      <c r="X40" s="64"/>
      <c r="Y40" s="64"/>
    </row>
    <row r="41" ht="14.25" customHeight="1">
      <c r="B41" s="7">
        <v>6.0</v>
      </c>
      <c r="C41" s="15">
        <v>615.0</v>
      </c>
      <c r="D41" s="61"/>
      <c r="E41" s="61"/>
      <c r="F41" s="62">
        <f t="shared" si="10"/>
        <v>577.06</v>
      </c>
      <c r="G41" s="62">
        <f t="shared" si="11"/>
        <v>37.94</v>
      </c>
      <c r="H41" s="62">
        <f t="shared" si="12"/>
        <v>37.94</v>
      </c>
      <c r="W41" s="65"/>
      <c r="X41" s="66"/>
      <c r="Y41" s="66"/>
    </row>
    <row r="42" ht="14.25" customHeight="1">
      <c r="B42" s="7">
        <v>7.0</v>
      </c>
      <c r="C42" s="15">
        <v>551.0</v>
      </c>
      <c r="D42" s="61"/>
      <c r="E42" s="61"/>
      <c r="F42" s="62">
        <f t="shared" si="10"/>
        <v>573.07</v>
      </c>
      <c r="G42" s="62">
        <f t="shared" si="11"/>
        <v>-22.07</v>
      </c>
      <c r="H42" s="62">
        <f t="shared" si="12"/>
        <v>22.07</v>
      </c>
    </row>
    <row r="43" ht="14.25" customHeight="1">
      <c r="B43" s="7">
        <v>8.0</v>
      </c>
      <c r="C43" s="15">
        <v>525.0</v>
      </c>
      <c r="D43" s="61"/>
      <c r="E43" s="61"/>
      <c r="F43" s="62">
        <f t="shared" si="10"/>
        <v>569.08</v>
      </c>
      <c r="G43" s="62">
        <f t="shared" si="11"/>
        <v>-44.08</v>
      </c>
      <c r="H43" s="62">
        <f t="shared" si="12"/>
        <v>44.08</v>
      </c>
    </row>
    <row r="44" ht="14.25" customHeight="1">
      <c r="B44" s="7">
        <v>9.0</v>
      </c>
      <c r="C44" s="15">
        <v>583.0</v>
      </c>
      <c r="D44" s="61"/>
      <c r="E44" s="61"/>
      <c r="F44" s="62">
        <f t="shared" si="10"/>
        <v>565.09</v>
      </c>
      <c r="G44" s="62">
        <f t="shared" si="11"/>
        <v>17.91</v>
      </c>
      <c r="H44" s="62">
        <f t="shared" si="12"/>
        <v>17.91</v>
      </c>
    </row>
    <row r="45" ht="14.25" customHeight="1">
      <c r="B45" s="7">
        <v>10.0</v>
      </c>
      <c r="C45" s="15">
        <v>618.0</v>
      </c>
      <c r="D45" s="61"/>
      <c r="E45" s="61"/>
      <c r="F45" s="62">
        <f t="shared" si="10"/>
        <v>561.1</v>
      </c>
      <c r="G45" s="62">
        <f t="shared" si="11"/>
        <v>56.9</v>
      </c>
      <c r="H45" s="62">
        <f t="shared" si="12"/>
        <v>56.9</v>
      </c>
      <c r="W45" s="67"/>
      <c r="X45" s="67"/>
      <c r="Z45" s="68"/>
    </row>
    <row r="46" ht="14.25" customHeight="1">
      <c r="B46" s="7">
        <v>11.0</v>
      </c>
      <c r="C46" s="15">
        <v>558.0</v>
      </c>
      <c r="D46" s="61"/>
      <c r="E46" s="61"/>
      <c r="F46" s="62">
        <f t="shared" si="10"/>
        <v>557.11</v>
      </c>
      <c r="G46" s="62">
        <f t="shared" si="11"/>
        <v>0.89</v>
      </c>
      <c r="H46" s="62">
        <f t="shared" si="12"/>
        <v>0.89</v>
      </c>
      <c r="W46" s="67"/>
      <c r="X46" s="67"/>
    </row>
    <row r="47" ht="14.25" customHeight="1">
      <c r="B47" s="7">
        <v>12.0</v>
      </c>
      <c r="C47" s="15">
        <v>528.0</v>
      </c>
      <c r="D47" s="61"/>
      <c r="E47" s="61"/>
      <c r="F47" s="62">
        <f t="shared" si="10"/>
        <v>553.12</v>
      </c>
      <c r="G47" s="62">
        <f t="shared" si="11"/>
        <v>-25.12</v>
      </c>
      <c r="H47" s="62">
        <f t="shared" si="12"/>
        <v>25.12</v>
      </c>
      <c r="W47" s="67"/>
      <c r="X47" s="67"/>
    </row>
    <row r="48" ht="14.25" customHeight="1">
      <c r="B48" s="69" t="s">
        <v>39</v>
      </c>
      <c r="C48" s="30"/>
      <c r="D48" s="30"/>
      <c r="E48" s="30"/>
      <c r="F48" s="30"/>
      <c r="G48" s="31">
        <f>SUM(G36:G47)</f>
        <v>5.22</v>
      </c>
      <c r="H48" s="30"/>
      <c r="W48" s="67"/>
      <c r="X48" s="67"/>
    </row>
    <row r="49" ht="14.25" customHeight="1">
      <c r="B49" s="69" t="s">
        <v>9</v>
      </c>
      <c r="C49" s="30"/>
      <c r="D49" s="30"/>
      <c r="E49" s="30"/>
      <c r="F49" s="30"/>
      <c r="G49" s="30"/>
      <c r="H49" s="31">
        <f>AVERAGE(H36:H47)</f>
        <v>31.65833333</v>
      </c>
      <c r="W49" s="67"/>
    </row>
    <row r="50" ht="14.25" customHeight="1">
      <c r="W50" s="67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>
      <c r="B57" s="57" t="s">
        <v>1</v>
      </c>
      <c r="C57" s="58" t="s">
        <v>2</v>
      </c>
      <c r="D57" s="59" t="s">
        <v>29</v>
      </c>
      <c r="E57" s="59" t="s">
        <v>30</v>
      </c>
      <c r="F57" s="60" t="s">
        <v>31</v>
      </c>
      <c r="G57" s="60" t="s">
        <v>4</v>
      </c>
      <c r="H57" s="60" t="s">
        <v>9</v>
      </c>
    </row>
    <row r="58" ht="14.25" customHeight="1">
      <c r="B58" s="7">
        <v>1.0</v>
      </c>
      <c r="C58" s="15">
        <v>307.0</v>
      </c>
      <c r="D58" s="61">
        <f t="shared" ref="D58:D69" si="13">B58*B58</f>
        <v>1</v>
      </c>
      <c r="E58" s="61">
        <f t="shared" ref="E58:E69" si="14">C58*B58</f>
        <v>307</v>
      </c>
      <c r="F58" s="62">
        <f t="shared" ref="F58:F81" si="15">15.5*B58+281</f>
        <v>296.5</v>
      </c>
      <c r="G58" s="62">
        <f t="shared" ref="G58:G69" si="16">C58-F58</f>
        <v>10.5</v>
      </c>
      <c r="H58" s="62">
        <f t="shared" ref="H58:H69" si="17">ABS(G58)</f>
        <v>10.5</v>
      </c>
    </row>
    <row r="59" ht="14.25" customHeight="1">
      <c r="B59" s="7">
        <v>2.0</v>
      </c>
      <c r="C59" s="15">
        <v>319.0</v>
      </c>
      <c r="D59" s="61">
        <f t="shared" si="13"/>
        <v>4</v>
      </c>
      <c r="E59" s="61">
        <f t="shared" si="14"/>
        <v>638</v>
      </c>
      <c r="F59" s="62">
        <f t="shared" si="15"/>
        <v>312</v>
      </c>
      <c r="G59" s="62">
        <f t="shared" si="16"/>
        <v>7</v>
      </c>
      <c r="H59" s="62">
        <f t="shared" si="17"/>
        <v>7</v>
      </c>
    </row>
    <row r="60" ht="14.25" customHeight="1">
      <c r="B60" s="7">
        <v>3.0</v>
      </c>
      <c r="C60" s="15">
        <v>321.0</v>
      </c>
      <c r="D60" s="61">
        <f t="shared" si="13"/>
        <v>9</v>
      </c>
      <c r="E60" s="61">
        <f t="shared" si="14"/>
        <v>963</v>
      </c>
      <c r="F60" s="62">
        <f t="shared" si="15"/>
        <v>327.5</v>
      </c>
      <c r="G60" s="62">
        <f t="shared" si="16"/>
        <v>-6.5</v>
      </c>
      <c r="H60" s="62">
        <f t="shared" si="17"/>
        <v>6.5</v>
      </c>
    </row>
    <row r="61" ht="14.25" customHeight="1">
      <c r="B61" s="7">
        <v>4.0</v>
      </c>
      <c r="C61" s="15">
        <v>340.0</v>
      </c>
      <c r="D61" s="61">
        <f t="shared" si="13"/>
        <v>16</v>
      </c>
      <c r="E61" s="61">
        <f t="shared" si="14"/>
        <v>1360</v>
      </c>
      <c r="F61" s="62">
        <f t="shared" si="15"/>
        <v>343</v>
      </c>
      <c r="G61" s="62">
        <f t="shared" si="16"/>
        <v>-3</v>
      </c>
      <c r="H61" s="62">
        <f t="shared" si="17"/>
        <v>3</v>
      </c>
    </row>
    <row r="62" ht="14.25" customHeight="1">
      <c r="B62" s="7">
        <v>5.0</v>
      </c>
      <c r="C62" s="15">
        <v>349.0</v>
      </c>
      <c r="D62" s="61">
        <f t="shared" si="13"/>
        <v>25</v>
      </c>
      <c r="E62" s="61">
        <f t="shared" si="14"/>
        <v>1745</v>
      </c>
      <c r="F62" s="62">
        <f t="shared" si="15"/>
        <v>358.5</v>
      </c>
      <c r="G62" s="62">
        <f t="shared" si="16"/>
        <v>-9.5</v>
      </c>
      <c r="H62" s="62">
        <f t="shared" si="17"/>
        <v>9.5</v>
      </c>
    </row>
    <row r="63" ht="14.25" customHeight="1">
      <c r="B63" s="7">
        <v>6.0</v>
      </c>
      <c r="C63" s="15">
        <v>366.0</v>
      </c>
      <c r="D63" s="61">
        <f t="shared" si="13"/>
        <v>36</v>
      </c>
      <c r="E63" s="61">
        <f t="shared" si="14"/>
        <v>2196</v>
      </c>
      <c r="F63" s="62">
        <f t="shared" si="15"/>
        <v>374</v>
      </c>
      <c r="G63" s="62">
        <f t="shared" si="16"/>
        <v>-8</v>
      </c>
      <c r="H63" s="62">
        <f t="shared" si="17"/>
        <v>8</v>
      </c>
      <c r="I63" s="70" t="s">
        <v>37</v>
      </c>
      <c r="J63" s="71">
        <f>(12*E82-(B82*C82))/(12*D82-(B82*B82))</f>
        <v>15.50699301</v>
      </c>
    </row>
    <row r="64" ht="14.25" customHeight="1">
      <c r="B64" s="7">
        <v>7.0</v>
      </c>
      <c r="C64" s="15">
        <v>392.0</v>
      </c>
      <c r="D64" s="61">
        <f t="shared" si="13"/>
        <v>49</v>
      </c>
      <c r="E64" s="61">
        <f t="shared" si="14"/>
        <v>2744</v>
      </c>
      <c r="F64" s="62">
        <f t="shared" si="15"/>
        <v>389.5</v>
      </c>
      <c r="G64" s="62">
        <f t="shared" si="16"/>
        <v>2.5</v>
      </c>
      <c r="H64" s="62">
        <f t="shared" si="17"/>
        <v>2.5</v>
      </c>
      <c r="I64" s="70" t="s">
        <v>38</v>
      </c>
      <c r="J64" s="50">
        <f>(C82-(J63*B82))/12</f>
        <v>281.2878788</v>
      </c>
    </row>
    <row r="65" ht="14.25" customHeight="1">
      <c r="B65" s="7">
        <v>8.0</v>
      </c>
      <c r="C65" s="15">
        <v>409.0</v>
      </c>
      <c r="D65" s="61">
        <f t="shared" si="13"/>
        <v>64</v>
      </c>
      <c r="E65" s="61">
        <f t="shared" si="14"/>
        <v>3272</v>
      </c>
      <c r="F65" s="62">
        <f t="shared" si="15"/>
        <v>405</v>
      </c>
      <c r="G65" s="62">
        <f t="shared" si="16"/>
        <v>4</v>
      </c>
      <c r="H65" s="62">
        <f t="shared" si="17"/>
        <v>4</v>
      </c>
    </row>
    <row r="66" ht="14.25" customHeight="1">
      <c r="B66" s="7">
        <v>9.0</v>
      </c>
      <c r="C66" s="15">
        <v>423.0</v>
      </c>
      <c r="D66" s="61">
        <f t="shared" si="13"/>
        <v>81</v>
      </c>
      <c r="E66" s="61">
        <f t="shared" si="14"/>
        <v>3807</v>
      </c>
      <c r="F66" s="62">
        <f t="shared" si="15"/>
        <v>420.5</v>
      </c>
      <c r="G66" s="62">
        <f t="shared" si="16"/>
        <v>2.5</v>
      </c>
      <c r="H66" s="62">
        <f t="shared" si="17"/>
        <v>2.5</v>
      </c>
      <c r="J66" s="23" t="s">
        <v>28</v>
      </c>
    </row>
    <row r="67" ht="14.25" customHeight="1">
      <c r="B67" s="7">
        <v>10.0</v>
      </c>
      <c r="C67" s="15">
        <v>433.0</v>
      </c>
      <c r="D67" s="61">
        <f t="shared" si="13"/>
        <v>100</v>
      </c>
      <c r="E67" s="61">
        <f t="shared" si="14"/>
        <v>4330</v>
      </c>
      <c r="F67" s="62">
        <f t="shared" si="15"/>
        <v>436</v>
      </c>
      <c r="G67" s="62">
        <f t="shared" si="16"/>
        <v>-3</v>
      </c>
      <c r="H67" s="62">
        <f t="shared" si="17"/>
        <v>3</v>
      </c>
      <c r="J67" s="23" t="s">
        <v>40</v>
      </c>
    </row>
    <row r="68" ht="14.25" customHeight="1">
      <c r="B68" s="7">
        <v>11.0</v>
      </c>
      <c r="C68" s="15">
        <v>454.0</v>
      </c>
      <c r="D68" s="61">
        <f t="shared" si="13"/>
        <v>121</v>
      </c>
      <c r="E68" s="61">
        <f t="shared" si="14"/>
        <v>4994</v>
      </c>
      <c r="F68" s="62">
        <f t="shared" si="15"/>
        <v>451.5</v>
      </c>
      <c r="G68" s="62">
        <f t="shared" si="16"/>
        <v>2.5</v>
      </c>
      <c r="H68" s="62">
        <f t="shared" si="17"/>
        <v>2.5</v>
      </c>
    </row>
    <row r="69" ht="14.25" customHeight="1">
      <c r="B69" s="7">
        <v>12.0</v>
      </c>
      <c r="C69" s="15">
        <v>472.0</v>
      </c>
      <c r="D69" s="61">
        <f t="shared" si="13"/>
        <v>144</v>
      </c>
      <c r="E69" s="61">
        <f t="shared" si="14"/>
        <v>5664</v>
      </c>
      <c r="F69" s="62">
        <f t="shared" si="15"/>
        <v>467</v>
      </c>
      <c r="G69" s="62">
        <f t="shared" si="16"/>
        <v>5</v>
      </c>
      <c r="H69" s="62">
        <f t="shared" si="17"/>
        <v>5</v>
      </c>
    </row>
    <row r="70" ht="14.25" customHeight="1">
      <c r="B70" s="44">
        <v>13.0</v>
      </c>
      <c r="F70" s="62">
        <f t="shared" si="15"/>
        <v>482.5</v>
      </c>
      <c r="G70" s="61"/>
      <c r="H70" s="61"/>
    </row>
    <row r="71" ht="14.25" customHeight="1">
      <c r="B71" s="44">
        <v>14.0</v>
      </c>
      <c r="C71" s="61"/>
      <c r="D71" s="61"/>
      <c r="E71" s="61"/>
      <c r="F71" s="62">
        <f t="shared" si="15"/>
        <v>498</v>
      </c>
      <c r="G71" s="61"/>
      <c r="H71" s="62">
        <f>AVERAGE(H58:H69)</f>
        <v>5.333333333</v>
      </c>
    </row>
    <row r="72" ht="14.25" customHeight="1">
      <c r="B72" s="44">
        <v>15.0</v>
      </c>
      <c r="C72" s="61"/>
      <c r="D72" s="61"/>
      <c r="E72" s="61"/>
      <c r="F72" s="62">
        <f t="shared" si="15"/>
        <v>513.5</v>
      </c>
      <c r="G72" s="72"/>
      <c r="H72" s="72"/>
    </row>
    <row r="73" ht="14.25" customHeight="1">
      <c r="B73" s="44">
        <v>16.0</v>
      </c>
      <c r="C73" s="61"/>
      <c r="D73" s="61"/>
      <c r="E73" s="61"/>
      <c r="F73" s="62">
        <f t="shared" si="15"/>
        <v>529</v>
      </c>
      <c r="G73" s="72"/>
      <c r="H73" s="72"/>
    </row>
    <row r="74" ht="14.25" customHeight="1">
      <c r="B74" s="44">
        <v>17.0</v>
      </c>
      <c r="C74" s="61"/>
      <c r="D74" s="61"/>
      <c r="E74" s="61"/>
      <c r="F74" s="62">
        <f t="shared" si="15"/>
        <v>544.5</v>
      </c>
      <c r="G74" s="72"/>
      <c r="H74" s="72"/>
    </row>
    <row r="75" ht="14.25" customHeight="1">
      <c r="B75" s="44">
        <v>18.0</v>
      </c>
      <c r="C75" s="61"/>
      <c r="D75" s="61"/>
      <c r="E75" s="61"/>
      <c r="F75" s="62">
        <f t="shared" si="15"/>
        <v>560</v>
      </c>
      <c r="G75" s="72"/>
      <c r="H75" s="72"/>
    </row>
    <row r="76" ht="14.25" customHeight="1">
      <c r="B76" s="44">
        <v>19.0</v>
      </c>
      <c r="C76" s="61"/>
      <c r="D76" s="61"/>
      <c r="E76" s="61"/>
      <c r="F76" s="62">
        <f t="shared" si="15"/>
        <v>575.5</v>
      </c>
      <c r="G76" s="72"/>
      <c r="H76" s="72"/>
    </row>
    <row r="77" ht="14.25" customHeight="1">
      <c r="B77" s="44">
        <v>20.0</v>
      </c>
      <c r="C77" s="61"/>
      <c r="D77" s="61"/>
      <c r="E77" s="61"/>
      <c r="F77" s="62">
        <f t="shared" si="15"/>
        <v>591</v>
      </c>
      <c r="G77" s="72"/>
      <c r="H77" s="72"/>
    </row>
    <row r="78" ht="14.25" customHeight="1">
      <c r="B78" s="73">
        <v>21.0</v>
      </c>
      <c r="C78" s="61"/>
      <c r="D78" s="61"/>
      <c r="E78" s="61"/>
      <c r="F78" s="62">
        <f t="shared" si="15"/>
        <v>606.5</v>
      </c>
      <c r="G78" s="72"/>
      <c r="H78" s="72"/>
    </row>
    <row r="79" ht="14.25" customHeight="1">
      <c r="B79" s="73">
        <v>22.0</v>
      </c>
      <c r="C79" s="61"/>
      <c r="D79" s="61"/>
      <c r="E79" s="61"/>
      <c r="F79" s="62">
        <f t="shared" si="15"/>
        <v>622</v>
      </c>
      <c r="G79" s="72"/>
      <c r="H79" s="72"/>
    </row>
    <row r="80" ht="14.25" customHeight="1">
      <c r="B80" s="73">
        <v>23.0</v>
      </c>
      <c r="C80" s="61"/>
      <c r="D80" s="61"/>
      <c r="E80" s="61"/>
      <c r="F80" s="62">
        <f t="shared" si="15"/>
        <v>637.5</v>
      </c>
      <c r="G80" s="72"/>
    </row>
    <row r="81" ht="14.25" customHeight="1">
      <c r="B81" s="73">
        <v>24.0</v>
      </c>
      <c r="C81" s="61"/>
      <c r="D81" s="61"/>
      <c r="E81" s="61"/>
      <c r="F81" s="62">
        <f t="shared" si="15"/>
        <v>653</v>
      </c>
      <c r="G81" s="72"/>
      <c r="H81" s="72"/>
    </row>
    <row r="82" ht="14.25" customHeight="1">
      <c r="B82" s="61">
        <f t="shared" ref="B82:E82" si="18">SUM(B58:B69)</f>
        <v>78</v>
      </c>
      <c r="C82" s="61">
        <f t="shared" si="18"/>
        <v>4585</v>
      </c>
      <c r="D82" s="61">
        <f t="shared" si="18"/>
        <v>650</v>
      </c>
      <c r="E82" s="61">
        <f t="shared" si="18"/>
        <v>32020</v>
      </c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E1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  <col customWidth="1" min="22" max="22" width="11.29"/>
    <col customWidth="1" min="23" max="23" width="10.86"/>
    <col customWidth="1" min="24" max="24" width="58.86"/>
    <col customWidth="1" min="25" max="25" width="9.43"/>
    <col customWidth="1" min="26" max="26" width="8.71"/>
  </cols>
  <sheetData>
    <row r="1" ht="14.25" customHeight="1">
      <c r="B1" s="2" t="s">
        <v>28</v>
      </c>
      <c r="C1" s="3"/>
      <c r="D1" s="3"/>
      <c r="E1" s="4"/>
    </row>
    <row r="2" ht="14.25" customHeight="1">
      <c r="B2" s="6" t="s">
        <v>1</v>
      </c>
      <c r="C2" s="6" t="s">
        <v>2</v>
      </c>
      <c r="D2" s="6" t="s">
        <v>29</v>
      </c>
      <c r="E2" s="10" t="s">
        <v>30</v>
      </c>
      <c r="F2" s="42" t="s">
        <v>31</v>
      </c>
      <c r="G2" s="42" t="s">
        <v>32</v>
      </c>
      <c r="H2" s="42" t="s">
        <v>33</v>
      </c>
    </row>
    <row r="3" ht="14.25" customHeight="1">
      <c r="B3" s="7">
        <v>1.0</v>
      </c>
      <c r="C3" s="74">
        <v>2.8</v>
      </c>
      <c r="D3" s="8">
        <f t="shared" ref="D3:D26" si="1">B3*B3</f>
        <v>1</v>
      </c>
      <c r="E3" s="8">
        <f t="shared" ref="E3:E26" si="2">B3*C3</f>
        <v>2.8</v>
      </c>
      <c r="F3" s="31">
        <f t="shared" ref="F3:F26" si="3">0.551*C3+4.17</f>
        <v>5.7128</v>
      </c>
      <c r="G3" s="31">
        <f t="shared" ref="G3:G26" si="4">C3-F3</f>
        <v>-2.9128</v>
      </c>
      <c r="H3" s="31">
        <f t="shared" ref="H3:H26" si="5">ABS(G3)</f>
        <v>2.9128</v>
      </c>
      <c r="V3" s="23" t="s">
        <v>41</v>
      </c>
      <c r="W3" s="23" t="s">
        <v>42</v>
      </c>
      <c r="X3" s="23" t="s">
        <v>43</v>
      </c>
    </row>
    <row r="4" ht="14.25" customHeight="1">
      <c r="B4" s="7">
        <v>2.0</v>
      </c>
      <c r="C4" s="74">
        <v>3.0</v>
      </c>
      <c r="D4" s="8">
        <f t="shared" si="1"/>
        <v>4</v>
      </c>
      <c r="E4" s="8">
        <f t="shared" si="2"/>
        <v>6</v>
      </c>
      <c r="F4" s="31">
        <f t="shared" si="3"/>
        <v>5.823</v>
      </c>
      <c r="G4" s="31">
        <f t="shared" si="4"/>
        <v>-2.823</v>
      </c>
      <c r="H4" s="31">
        <f t="shared" si="5"/>
        <v>2.823</v>
      </c>
      <c r="V4" s="23" t="s">
        <v>44</v>
      </c>
      <c r="W4" s="75">
        <v>2.0</v>
      </c>
      <c r="X4" s="23" t="s">
        <v>45</v>
      </c>
    </row>
    <row r="5" ht="14.25" customHeight="1">
      <c r="B5" s="7">
        <v>3.0</v>
      </c>
      <c r="C5" s="74">
        <v>1.9090909090909092</v>
      </c>
      <c r="D5" s="8">
        <f t="shared" si="1"/>
        <v>9</v>
      </c>
      <c r="E5" s="8">
        <f t="shared" si="2"/>
        <v>5.727272727</v>
      </c>
      <c r="F5" s="31">
        <f t="shared" si="3"/>
        <v>5.221909091</v>
      </c>
      <c r="G5" s="31">
        <f t="shared" si="4"/>
        <v>-3.312818182</v>
      </c>
      <c r="H5" s="31">
        <f t="shared" si="5"/>
        <v>3.312818182</v>
      </c>
      <c r="V5" s="23" t="s">
        <v>46</v>
      </c>
      <c r="W5" s="75">
        <v>3.0</v>
      </c>
      <c r="X5" s="23" t="s">
        <v>47</v>
      </c>
    </row>
    <row r="6" ht="14.25" customHeight="1">
      <c r="B6" s="7">
        <v>4.0</v>
      </c>
      <c r="C6" s="76">
        <v>2.5454545454545454</v>
      </c>
      <c r="D6" s="8">
        <f t="shared" si="1"/>
        <v>16</v>
      </c>
      <c r="E6" s="8">
        <f t="shared" si="2"/>
        <v>10.18181818</v>
      </c>
      <c r="F6" s="31">
        <f t="shared" si="3"/>
        <v>5.572545455</v>
      </c>
      <c r="G6" s="31">
        <f t="shared" si="4"/>
        <v>-3.027090909</v>
      </c>
      <c r="H6" s="31">
        <f t="shared" si="5"/>
        <v>3.027090909</v>
      </c>
      <c r="V6" s="23" t="s">
        <v>48</v>
      </c>
      <c r="W6" s="75">
        <v>3.0</v>
      </c>
      <c r="X6" s="23" t="s">
        <v>49</v>
      </c>
    </row>
    <row r="7" ht="14.25" customHeight="1">
      <c r="B7" s="7">
        <v>5.0</v>
      </c>
      <c r="C7" s="76">
        <v>2.8</v>
      </c>
      <c r="D7" s="8">
        <f t="shared" si="1"/>
        <v>25</v>
      </c>
      <c r="E7" s="8">
        <f t="shared" si="2"/>
        <v>14</v>
      </c>
      <c r="F7" s="31">
        <f t="shared" si="3"/>
        <v>5.7128</v>
      </c>
      <c r="G7" s="31">
        <f t="shared" si="4"/>
        <v>-2.9128</v>
      </c>
      <c r="H7" s="31">
        <f t="shared" si="5"/>
        <v>2.9128</v>
      </c>
      <c r="V7" s="23" t="s">
        <v>50</v>
      </c>
      <c r="W7" s="23">
        <v>4.0</v>
      </c>
      <c r="X7" s="23" t="s">
        <v>45</v>
      </c>
    </row>
    <row r="8" ht="14.25" customHeight="1">
      <c r="B8" s="7">
        <v>6.0</v>
      </c>
      <c r="C8" s="76">
        <v>3.0</v>
      </c>
      <c r="D8" s="8">
        <f t="shared" si="1"/>
        <v>36</v>
      </c>
      <c r="E8" s="8">
        <f t="shared" si="2"/>
        <v>18</v>
      </c>
      <c r="F8" s="31">
        <f t="shared" si="3"/>
        <v>5.823</v>
      </c>
      <c r="G8" s="31">
        <f t="shared" si="4"/>
        <v>-2.823</v>
      </c>
      <c r="H8" s="31">
        <f t="shared" si="5"/>
        <v>2.823</v>
      </c>
      <c r="V8" s="23" t="s">
        <v>51</v>
      </c>
      <c r="W8" s="23">
        <v>5.0</v>
      </c>
      <c r="X8" s="23" t="s">
        <v>52</v>
      </c>
    </row>
    <row r="9" ht="14.25" customHeight="1">
      <c r="B9" s="7">
        <v>7.0</v>
      </c>
      <c r="C9" s="76">
        <v>11.666666666666668</v>
      </c>
      <c r="D9" s="8">
        <f t="shared" si="1"/>
        <v>49</v>
      </c>
      <c r="E9" s="8">
        <f t="shared" si="2"/>
        <v>81.66666667</v>
      </c>
      <c r="F9" s="31">
        <f t="shared" si="3"/>
        <v>10.59833333</v>
      </c>
      <c r="G9" s="31">
        <f t="shared" si="4"/>
        <v>1.068333333</v>
      </c>
      <c r="H9" s="31">
        <f t="shared" si="5"/>
        <v>1.068333333</v>
      </c>
      <c r="V9" s="23" t="s">
        <v>53</v>
      </c>
      <c r="W9" s="23">
        <v>6.0</v>
      </c>
      <c r="X9" s="23" t="s">
        <v>47</v>
      </c>
    </row>
    <row r="10" ht="14.25" customHeight="1">
      <c r="B10" s="7">
        <v>8.0</v>
      </c>
      <c r="C10" s="76">
        <v>24.5</v>
      </c>
      <c r="D10" s="8">
        <f t="shared" si="1"/>
        <v>64</v>
      </c>
      <c r="E10" s="8">
        <f t="shared" si="2"/>
        <v>196</v>
      </c>
      <c r="F10" s="31">
        <f t="shared" si="3"/>
        <v>17.6695</v>
      </c>
      <c r="G10" s="31">
        <f t="shared" si="4"/>
        <v>6.8305</v>
      </c>
      <c r="H10" s="31">
        <f t="shared" si="5"/>
        <v>6.8305</v>
      </c>
      <c r="V10" s="23" t="s">
        <v>54</v>
      </c>
      <c r="W10" s="23">
        <v>5.0</v>
      </c>
      <c r="X10" s="23" t="s">
        <v>49</v>
      </c>
    </row>
    <row r="11" ht="14.25" customHeight="1">
      <c r="B11" s="7">
        <v>9.0</v>
      </c>
      <c r="C11" s="76">
        <v>19.25</v>
      </c>
      <c r="D11" s="8">
        <f t="shared" si="1"/>
        <v>81</v>
      </c>
      <c r="E11" s="8">
        <f t="shared" si="2"/>
        <v>173.25</v>
      </c>
      <c r="F11" s="31">
        <f t="shared" si="3"/>
        <v>14.77675</v>
      </c>
      <c r="G11" s="31">
        <f t="shared" si="4"/>
        <v>4.47325</v>
      </c>
      <c r="H11" s="31">
        <f t="shared" si="5"/>
        <v>4.47325</v>
      </c>
      <c r="V11" s="23" t="s">
        <v>55</v>
      </c>
      <c r="W11" s="23">
        <v>7.0</v>
      </c>
      <c r="X11" s="23" t="s">
        <v>45</v>
      </c>
    </row>
    <row r="12" ht="14.25" customHeight="1">
      <c r="B12" s="7">
        <v>10.0</v>
      </c>
      <c r="C12" s="76">
        <v>15.4</v>
      </c>
      <c r="D12" s="8">
        <f t="shared" si="1"/>
        <v>100</v>
      </c>
      <c r="E12" s="8">
        <f t="shared" si="2"/>
        <v>154</v>
      </c>
      <c r="F12" s="31">
        <f t="shared" si="3"/>
        <v>12.6554</v>
      </c>
      <c r="G12" s="31">
        <f t="shared" si="4"/>
        <v>2.7446</v>
      </c>
      <c r="H12" s="31">
        <f t="shared" si="5"/>
        <v>2.7446</v>
      </c>
      <c r="V12" s="23" t="s">
        <v>56</v>
      </c>
      <c r="W12" s="23">
        <v>11.0</v>
      </c>
      <c r="X12" s="23" t="s">
        <v>57</v>
      </c>
    </row>
    <row r="13" ht="14.25" customHeight="1">
      <c r="B13" s="7">
        <v>11.0</v>
      </c>
      <c r="C13" s="76">
        <v>12.564102564102564</v>
      </c>
      <c r="D13" s="8">
        <f t="shared" si="1"/>
        <v>121</v>
      </c>
      <c r="E13" s="14">
        <f t="shared" si="2"/>
        <v>138.2051282</v>
      </c>
      <c r="F13" s="31">
        <f t="shared" si="3"/>
        <v>11.09282051</v>
      </c>
      <c r="G13" s="31">
        <f t="shared" si="4"/>
        <v>1.471282051</v>
      </c>
      <c r="H13" s="31">
        <f t="shared" si="5"/>
        <v>1.471282051</v>
      </c>
      <c r="V13" s="23" t="s">
        <v>58</v>
      </c>
      <c r="W13" s="23">
        <v>11.0</v>
      </c>
      <c r="X13" s="23" t="s">
        <v>52</v>
      </c>
    </row>
    <row r="14" ht="14.25" customHeight="1">
      <c r="B14" s="7">
        <v>12.0</v>
      </c>
      <c r="C14" s="76">
        <v>18.666666666666668</v>
      </c>
      <c r="D14" s="8">
        <f t="shared" si="1"/>
        <v>144</v>
      </c>
      <c r="E14" s="8">
        <f t="shared" si="2"/>
        <v>224</v>
      </c>
      <c r="F14" s="31">
        <f t="shared" si="3"/>
        <v>14.45533333</v>
      </c>
      <c r="G14" s="31">
        <f t="shared" si="4"/>
        <v>4.211333333</v>
      </c>
      <c r="H14" s="31">
        <f t="shared" si="5"/>
        <v>4.211333333</v>
      </c>
      <c r="V14" s="23" t="s">
        <v>59</v>
      </c>
      <c r="W14" s="23">
        <v>10.0</v>
      </c>
      <c r="X14" s="23" t="s">
        <v>45</v>
      </c>
    </row>
    <row r="15" ht="14.25" customHeight="1">
      <c r="B15" s="7">
        <v>13.0</v>
      </c>
      <c r="C15" s="76">
        <v>4.2</v>
      </c>
      <c r="D15" s="8">
        <f t="shared" si="1"/>
        <v>169</v>
      </c>
      <c r="E15" s="8">
        <f t="shared" si="2"/>
        <v>54.6</v>
      </c>
      <c r="F15" s="31">
        <f t="shared" si="3"/>
        <v>6.4842</v>
      </c>
      <c r="G15" s="31">
        <f t="shared" si="4"/>
        <v>-2.2842</v>
      </c>
      <c r="H15" s="31">
        <f t="shared" si="5"/>
        <v>2.2842</v>
      </c>
      <c r="V15" s="23" t="s">
        <v>60</v>
      </c>
      <c r="W15" s="23">
        <v>14.0</v>
      </c>
      <c r="X15" s="23" t="s">
        <v>61</v>
      </c>
    </row>
    <row r="16" ht="14.25" customHeight="1">
      <c r="B16" s="7">
        <v>14.0</v>
      </c>
      <c r="C16" s="76">
        <v>2.0</v>
      </c>
      <c r="D16" s="8">
        <f t="shared" si="1"/>
        <v>196</v>
      </c>
      <c r="E16" s="8">
        <f t="shared" si="2"/>
        <v>28</v>
      </c>
      <c r="F16" s="31">
        <f t="shared" si="3"/>
        <v>5.272</v>
      </c>
      <c r="G16" s="31">
        <f t="shared" si="4"/>
        <v>-3.272</v>
      </c>
      <c r="H16" s="31">
        <f t="shared" si="5"/>
        <v>3.272</v>
      </c>
      <c r="V16" s="23" t="s">
        <v>62</v>
      </c>
      <c r="W16" s="23">
        <v>3.0</v>
      </c>
      <c r="X16" s="23" t="s">
        <v>52</v>
      </c>
    </row>
    <row r="17" ht="14.25" customHeight="1">
      <c r="B17" s="7">
        <v>15.0</v>
      </c>
      <c r="C17" s="76">
        <v>2.5454545454545454</v>
      </c>
      <c r="D17" s="8">
        <f t="shared" si="1"/>
        <v>225</v>
      </c>
      <c r="E17" s="8">
        <f t="shared" si="2"/>
        <v>38.18181818</v>
      </c>
      <c r="F17" s="31">
        <f t="shared" si="3"/>
        <v>5.572545455</v>
      </c>
      <c r="G17" s="31">
        <f t="shared" si="4"/>
        <v>-3.027090909</v>
      </c>
      <c r="H17" s="31">
        <f t="shared" si="5"/>
        <v>3.027090909</v>
      </c>
      <c r="V17" s="23" t="s">
        <v>63</v>
      </c>
      <c r="W17" s="23">
        <v>2.0</v>
      </c>
      <c r="X17" s="23" t="s">
        <v>47</v>
      </c>
    </row>
    <row r="18" ht="14.25" customHeight="1">
      <c r="B18" s="7">
        <v>16.0</v>
      </c>
      <c r="C18" s="76">
        <v>3.181818181818182</v>
      </c>
      <c r="D18" s="8">
        <f t="shared" si="1"/>
        <v>256</v>
      </c>
      <c r="E18" s="8">
        <f t="shared" si="2"/>
        <v>50.90909091</v>
      </c>
      <c r="F18" s="31">
        <f t="shared" si="3"/>
        <v>5.923181818</v>
      </c>
      <c r="G18" s="31">
        <f t="shared" si="4"/>
        <v>-2.741363636</v>
      </c>
      <c r="H18" s="31">
        <f t="shared" si="5"/>
        <v>2.741363636</v>
      </c>
      <c r="V18" s="23" t="s">
        <v>48</v>
      </c>
      <c r="W18" s="23">
        <v>4.0</v>
      </c>
      <c r="X18" s="23" t="s">
        <v>64</v>
      </c>
    </row>
    <row r="19" ht="14.25" customHeight="1">
      <c r="B19" s="7">
        <v>17.0</v>
      </c>
      <c r="C19" s="76">
        <v>4.2</v>
      </c>
      <c r="D19" s="8">
        <f t="shared" si="1"/>
        <v>289</v>
      </c>
      <c r="E19" s="8">
        <f t="shared" si="2"/>
        <v>71.4</v>
      </c>
      <c r="F19" s="31">
        <f t="shared" si="3"/>
        <v>6.4842</v>
      </c>
      <c r="G19" s="31">
        <f t="shared" si="4"/>
        <v>-2.2842</v>
      </c>
      <c r="H19" s="31">
        <f t="shared" si="5"/>
        <v>2.2842</v>
      </c>
      <c r="V19" s="23" t="s">
        <v>65</v>
      </c>
      <c r="W19" s="23">
        <v>5.0</v>
      </c>
      <c r="X19" s="23" t="s">
        <v>47</v>
      </c>
    </row>
    <row r="20" ht="14.25" customHeight="1">
      <c r="B20" s="7">
        <v>18.0</v>
      </c>
      <c r="C20" s="76">
        <v>3.0</v>
      </c>
      <c r="D20" s="8">
        <f t="shared" si="1"/>
        <v>324</v>
      </c>
      <c r="E20" s="8">
        <f t="shared" si="2"/>
        <v>54</v>
      </c>
      <c r="F20" s="31">
        <f t="shared" si="3"/>
        <v>5.823</v>
      </c>
      <c r="G20" s="31">
        <f t="shared" si="4"/>
        <v>-2.823</v>
      </c>
      <c r="H20" s="31">
        <f t="shared" si="5"/>
        <v>2.823</v>
      </c>
      <c r="V20" s="23" t="s">
        <v>66</v>
      </c>
      <c r="W20" s="23">
        <v>6.0</v>
      </c>
      <c r="X20" s="23" t="s">
        <v>49</v>
      </c>
    </row>
    <row r="21" ht="14.25" customHeight="1">
      <c r="B21" s="7">
        <v>19.0</v>
      </c>
      <c r="C21" s="76">
        <v>16.333333333333336</v>
      </c>
      <c r="D21" s="8">
        <f t="shared" si="1"/>
        <v>361</v>
      </c>
      <c r="E21" s="8">
        <f t="shared" si="2"/>
        <v>310.3333333</v>
      </c>
      <c r="F21" s="31">
        <f t="shared" si="3"/>
        <v>13.16966667</v>
      </c>
      <c r="G21" s="31">
        <f t="shared" si="4"/>
        <v>3.163666667</v>
      </c>
      <c r="H21" s="31">
        <f t="shared" si="5"/>
        <v>3.163666667</v>
      </c>
      <c r="V21" s="23" t="s">
        <v>67</v>
      </c>
      <c r="W21" s="23">
        <v>6.0</v>
      </c>
      <c r="X21" s="23" t="s">
        <v>45</v>
      </c>
    </row>
    <row r="22" ht="14.25" customHeight="1">
      <c r="B22" s="7">
        <v>20.0</v>
      </c>
      <c r="C22" s="76">
        <v>28.0</v>
      </c>
      <c r="D22" s="8">
        <f t="shared" si="1"/>
        <v>400</v>
      </c>
      <c r="E22" s="8">
        <f t="shared" si="2"/>
        <v>560</v>
      </c>
      <c r="F22" s="31">
        <f t="shared" si="3"/>
        <v>19.598</v>
      </c>
      <c r="G22" s="31">
        <f t="shared" si="4"/>
        <v>8.402</v>
      </c>
      <c r="H22" s="31">
        <f t="shared" si="5"/>
        <v>8.402</v>
      </c>
      <c r="V22" s="23" t="s">
        <v>68</v>
      </c>
      <c r="W22" s="23">
        <v>7.0</v>
      </c>
      <c r="X22" s="23" t="s">
        <v>47</v>
      </c>
    </row>
    <row r="23" ht="14.25" customHeight="1">
      <c r="B23" s="7">
        <v>21.0</v>
      </c>
      <c r="C23" s="76">
        <v>17.5</v>
      </c>
      <c r="D23" s="8">
        <f t="shared" si="1"/>
        <v>441</v>
      </c>
      <c r="E23" s="8">
        <f t="shared" si="2"/>
        <v>367.5</v>
      </c>
      <c r="F23" s="31">
        <f t="shared" si="3"/>
        <v>13.8125</v>
      </c>
      <c r="G23" s="31">
        <f t="shared" si="4"/>
        <v>3.6875</v>
      </c>
      <c r="H23" s="31">
        <f t="shared" si="5"/>
        <v>3.6875</v>
      </c>
      <c r="V23" s="23" t="s">
        <v>69</v>
      </c>
      <c r="W23" s="23">
        <v>8.0</v>
      </c>
      <c r="X23" s="23" t="s">
        <v>49</v>
      </c>
    </row>
    <row r="24" ht="14.25" customHeight="1">
      <c r="B24" s="7">
        <v>22.0</v>
      </c>
      <c r="C24" s="76">
        <v>15.4</v>
      </c>
      <c r="D24" s="8">
        <f t="shared" si="1"/>
        <v>484</v>
      </c>
      <c r="E24" s="8">
        <f t="shared" si="2"/>
        <v>338.8</v>
      </c>
      <c r="F24" s="31">
        <f t="shared" si="3"/>
        <v>12.6554</v>
      </c>
      <c r="G24" s="31">
        <f t="shared" si="4"/>
        <v>2.7446</v>
      </c>
      <c r="H24" s="31">
        <f t="shared" si="5"/>
        <v>2.7446</v>
      </c>
      <c r="V24" s="23" t="s">
        <v>70</v>
      </c>
      <c r="W24" s="23">
        <v>10.0</v>
      </c>
      <c r="X24" s="23" t="s">
        <v>71</v>
      </c>
    </row>
    <row r="25" ht="14.25" customHeight="1">
      <c r="B25" s="7">
        <v>23.0</v>
      </c>
      <c r="C25" s="76">
        <v>16.333333333333332</v>
      </c>
      <c r="D25" s="8">
        <f t="shared" si="1"/>
        <v>529</v>
      </c>
      <c r="E25" s="8">
        <f t="shared" si="2"/>
        <v>375.6666667</v>
      </c>
      <c r="F25" s="31">
        <f t="shared" si="3"/>
        <v>13.16966667</v>
      </c>
      <c r="G25" s="31">
        <f t="shared" si="4"/>
        <v>3.163666667</v>
      </c>
      <c r="H25" s="31">
        <f t="shared" si="5"/>
        <v>3.163666667</v>
      </c>
      <c r="V25" s="23" t="s">
        <v>72</v>
      </c>
      <c r="W25" s="23">
        <v>11.0</v>
      </c>
      <c r="X25" s="23" t="s">
        <v>47</v>
      </c>
    </row>
    <row r="26" ht="14.25" customHeight="1">
      <c r="B26" s="7">
        <v>24.0</v>
      </c>
      <c r="C26" s="76">
        <v>21.333333333333332</v>
      </c>
      <c r="D26" s="8">
        <f t="shared" si="1"/>
        <v>576</v>
      </c>
      <c r="E26" s="8">
        <f t="shared" si="2"/>
        <v>512</v>
      </c>
      <c r="F26" s="31">
        <f t="shared" si="3"/>
        <v>15.92466667</v>
      </c>
      <c r="G26" s="31">
        <f t="shared" si="4"/>
        <v>5.408666667</v>
      </c>
      <c r="H26" s="31">
        <f t="shared" si="5"/>
        <v>5.408666667</v>
      </c>
      <c r="V26" s="23" t="s">
        <v>73</v>
      </c>
      <c r="W26" s="23">
        <v>13.0</v>
      </c>
      <c r="X26" s="23" t="s">
        <v>45</v>
      </c>
    </row>
    <row r="27" ht="14.25" customHeight="1">
      <c r="E27" s="54" t="s">
        <v>39</v>
      </c>
      <c r="F27" s="30"/>
      <c r="G27" s="31">
        <f>SUM(G3:G26)</f>
        <v>13.12603508</v>
      </c>
      <c r="H27" s="31"/>
      <c r="V27" s="23" t="s">
        <v>74</v>
      </c>
      <c r="W27" s="23">
        <v>16.0</v>
      </c>
      <c r="X27" s="23" t="s">
        <v>75</v>
      </c>
    </row>
    <row r="28" ht="14.25" customHeight="1">
      <c r="E28" s="54" t="s">
        <v>9</v>
      </c>
      <c r="F28" s="30"/>
      <c r="G28" s="30"/>
      <c r="H28" s="31">
        <f>AVERAGE(H3:H26)</f>
        <v>3.400531765</v>
      </c>
    </row>
    <row r="29" ht="14.25" customHeight="1"/>
    <row r="30" ht="14.2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</row>
    <row r="31" ht="14.25" customHeight="1"/>
    <row r="32" ht="14.25" customHeight="1"/>
    <row r="33" ht="14.25" customHeight="1"/>
    <row r="34" ht="14.25" customHeight="1">
      <c r="W34" s="56"/>
      <c r="X34" s="56"/>
      <c r="Y34" s="56"/>
    </row>
    <row r="35" ht="14.25" customHeight="1">
      <c r="B35" s="57"/>
      <c r="C35" s="58"/>
      <c r="D35" s="59"/>
      <c r="E35" s="59"/>
      <c r="F35" s="60"/>
      <c r="G35" s="60"/>
      <c r="H35" s="60"/>
      <c r="W35" s="56"/>
      <c r="X35" s="56"/>
      <c r="Y35" s="56"/>
    </row>
    <row r="36" ht="14.25" customHeight="1">
      <c r="B36" s="7"/>
      <c r="C36" s="15"/>
      <c r="D36" s="61"/>
      <c r="E36" s="61"/>
      <c r="F36" s="62"/>
      <c r="G36" s="61"/>
      <c r="H36" s="62"/>
    </row>
    <row r="37" ht="14.25" customHeight="1">
      <c r="B37" s="7"/>
      <c r="C37" s="15"/>
      <c r="D37" s="61"/>
      <c r="E37" s="61"/>
      <c r="F37" s="62"/>
      <c r="G37" s="61"/>
      <c r="H37" s="62"/>
    </row>
    <row r="38" ht="14.25" customHeight="1">
      <c r="B38" s="7"/>
      <c r="C38" s="15"/>
      <c r="D38" s="61"/>
      <c r="E38" s="61"/>
      <c r="F38" s="62"/>
      <c r="G38" s="61"/>
      <c r="H38" s="62"/>
      <c r="W38" s="56"/>
      <c r="X38" s="56"/>
      <c r="Y38" s="56"/>
    </row>
    <row r="39" ht="14.25" customHeight="1">
      <c r="B39" s="7"/>
      <c r="C39" s="15"/>
      <c r="D39" s="61"/>
      <c r="E39" s="61"/>
      <c r="F39" s="62"/>
      <c r="G39" s="61"/>
      <c r="H39" s="62"/>
      <c r="W39" s="63"/>
      <c r="X39" s="64"/>
      <c r="Y39" s="64"/>
    </row>
    <row r="40" ht="14.25" customHeight="1">
      <c r="B40" s="7"/>
      <c r="C40" s="15"/>
      <c r="D40" s="61"/>
      <c r="E40" s="61"/>
      <c r="F40" s="62"/>
      <c r="G40" s="61"/>
      <c r="H40" s="62"/>
      <c r="W40" s="64"/>
      <c r="X40" s="64"/>
      <c r="Y40" s="64"/>
    </row>
    <row r="41" ht="14.25" customHeight="1">
      <c r="B41" s="7"/>
      <c r="C41" s="15"/>
      <c r="D41" s="61"/>
      <c r="E41" s="61"/>
      <c r="F41" s="62"/>
      <c r="G41" s="61"/>
      <c r="H41" s="62"/>
      <c r="W41" s="65"/>
      <c r="X41" s="66"/>
      <c r="Y41" s="66"/>
    </row>
    <row r="42" ht="14.25" customHeight="1">
      <c r="B42" s="7"/>
      <c r="C42" s="15"/>
      <c r="D42" s="61"/>
      <c r="E42" s="61"/>
      <c r="F42" s="62"/>
      <c r="G42" s="61"/>
      <c r="H42" s="62"/>
    </row>
    <row r="43" ht="14.25" customHeight="1">
      <c r="B43" s="7"/>
      <c r="C43" s="15"/>
      <c r="D43" s="61"/>
      <c r="E43" s="61"/>
      <c r="F43" s="62"/>
      <c r="G43" s="61"/>
      <c r="H43" s="62"/>
    </row>
    <row r="44" ht="14.25" customHeight="1">
      <c r="B44" s="7"/>
      <c r="C44" s="15"/>
      <c r="D44" s="61"/>
      <c r="E44" s="61"/>
      <c r="F44" s="62"/>
      <c r="G44" s="61"/>
      <c r="H44" s="62"/>
    </row>
    <row r="45" ht="14.25" customHeight="1">
      <c r="B45" s="7"/>
      <c r="C45" s="15"/>
      <c r="D45" s="61"/>
      <c r="E45" s="61"/>
      <c r="F45" s="62"/>
      <c r="G45" s="61"/>
      <c r="H45" s="62"/>
      <c r="W45" s="67"/>
      <c r="X45" s="67"/>
      <c r="Z45" s="68"/>
    </row>
    <row r="46" ht="14.25" customHeight="1">
      <c r="B46" s="7"/>
      <c r="C46" s="15"/>
      <c r="D46" s="61"/>
      <c r="E46" s="61"/>
      <c r="F46" s="62"/>
      <c r="G46" s="61"/>
      <c r="H46" s="62"/>
      <c r="W46" s="67"/>
      <c r="X46" s="67"/>
    </row>
    <row r="47" ht="14.25" customHeight="1">
      <c r="B47" s="7"/>
      <c r="C47" s="15"/>
      <c r="D47" s="61"/>
      <c r="E47" s="61"/>
      <c r="F47" s="62"/>
      <c r="G47" s="61"/>
      <c r="H47" s="62"/>
      <c r="W47" s="67"/>
      <c r="X47" s="67"/>
    </row>
    <row r="48" ht="14.25" customHeight="1">
      <c r="B48" s="69"/>
      <c r="C48" s="30"/>
      <c r="D48" s="30"/>
      <c r="E48" s="30"/>
      <c r="F48" s="30"/>
      <c r="G48" s="30"/>
      <c r="H48" s="30"/>
      <c r="W48" s="67"/>
      <c r="X48" s="67"/>
    </row>
    <row r="49" ht="14.25" customHeight="1">
      <c r="B49" s="69"/>
      <c r="C49" s="30"/>
      <c r="D49" s="30"/>
      <c r="E49" s="30"/>
      <c r="F49" s="30"/>
      <c r="G49" s="30"/>
      <c r="H49" s="30"/>
      <c r="W49" s="67"/>
    </row>
    <row r="50" ht="14.25" customHeight="1">
      <c r="W50" s="67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>
      <c r="B57" s="57"/>
      <c r="C57" s="58"/>
      <c r="D57" s="59"/>
      <c r="E57" s="59"/>
      <c r="F57" s="60"/>
      <c r="G57" s="60"/>
      <c r="H57" s="60"/>
    </row>
    <row r="58" ht="14.25" customHeight="1">
      <c r="B58" s="7"/>
      <c r="C58" s="15"/>
      <c r="D58" s="61"/>
      <c r="E58" s="61"/>
      <c r="F58" s="62"/>
      <c r="G58" s="61"/>
      <c r="H58" s="62"/>
    </row>
    <row r="59" ht="14.25" customHeight="1">
      <c r="B59" s="7"/>
      <c r="C59" s="15"/>
      <c r="D59" s="61"/>
      <c r="E59" s="61"/>
      <c r="F59" s="62"/>
      <c r="G59" s="61"/>
      <c r="H59" s="62"/>
    </row>
    <row r="60" ht="14.25" customHeight="1">
      <c r="B60" s="7"/>
      <c r="C60" s="15"/>
      <c r="D60" s="61"/>
      <c r="E60" s="61"/>
      <c r="F60" s="62"/>
      <c r="G60" s="61"/>
      <c r="H60" s="62"/>
    </row>
    <row r="61" ht="14.25" customHeight="1">
      <c r="B61" s="7"/>
      <c r="C61" s="15"/>
      <c r="D61" s="61"/>
      <c r="E61" s="61"/>
      <c r="F61" s="62"/>
      <c r="G61" s="61"/>
      <c r="H61" s="62"/>
    </row>
    <row r="62" ht="14.25" customHeight="1">
      <c r="B62" s="7"/>
      <c r="C62" s="15"/>
      <c r="D62" s="61"/>
      <c r="E62" s="61"/>
      <c r="F62" s="62"/>
      <c r="G62" s="61"/>
      <c r="H62" s="62"/>
    </row>
    <row r="63" ht="14.25" customHeight="1">
      <c r="B63" s="7"/>
      <c r="C63" s="15"/>
      <c r="D63" s="61"/>
      <c r="E63" s="61"/>
      <c r="F63" s="62"/>
      <c r="G63" s="61"/>
      <c r="H63" s="62"/>
    </row>
    <row r="64" ht="14.25" customHeight="1">
      <c r="B64" s="7"/>
      <c r="C64" s="15"/>
      <c r="D64" s="61"/>
      <c r="E64" s="61"/>
      <c r="F64" s="62"/>
      <c r="G64" s="61"/>
      <c r="H64" s="62"/>
    </row>
    <row r="65" ht="14.25" customHeight="1">
      <c r="B65" s="7"/>
      <c r="C65" s="15"/>
      <c r="D65" s="61"/>
      <c r="E65" s="61"/>
      <c r="F65" s="62"/>
      <c r="G65" s="61"/>
      <c r="H65" s="62"/>
    </row>
    <row r="66" ht="14.25" customHeight="1">
      <c r="B66" s="7"/>
      <c r="C66" s="15"/>
      <c r="D66" s="61"/>
      <c r="E66" s="61"/>
      <c r="F66" s="62"/>
      <c r="G66" s="61"/>
      <c r="H66" s="62"/>
    </row>
    <row r="67" ht="14.25" customHeight="1">
      <c r="B67" s="7"/>
      <c r="C67" s="15"/>
      <c r="D67" s="61"/>
      <c r="E67" s="61"/>
      <c r="F67" s="62"/>
      <c r="G67" s="61"/>
      <c r="H67" s="62"/>
    </row>
    <row r="68" ht="14.25" customHeight="1">
      <c r="B68" s="7"/>
      <c r="C68" s="15"/>
      <c r="D68" s="61"/>
      <c r="E68" s="61"/>
      <c r="F68" s="62"/>
      <c r="G68" s="61"/>
      <c r="H68" s="62"/>
    </row>
    <row r="69" ht="14.25" customHeight="1">
      <c r="B69" s="7"/>
      <c r="C69" s="15"/>
      <c r="D69" s="61"/>
      <c r="E69" s="61"/>
      <c r="F69" s="62"/>
      <c r="G69" s="61"/>
      <c r="H69" s="62"/>
    </row>
    <row r="70" ht="14.25" customHeight="1">
      <c r="B70" s="44"/>
      <c r="C70" s="61"/>
      <c r="D70" s="61"/>
      <c r="E70" s="61"/>
      <c r="F70" s="62"/>
      <c r="G70" s="61"/>
      <c r="H70" s="61"/>
    </row>
    <row r="71" ht="14.25" customHeight="1">
      <c r="B71" s="44"/>
      <c r="C71" s="61"/>
      <c r="D71" s="61"/>
      <c r="E71" s="61"/>
      <c r="F71" s="62"/>
      <c r="G71" s="61"/>
      <c r="H71" s="61"/>
    </row>
    <row r="72" ht="14.25" customHeight="1">
      <c r="B72" s="44"/>
      <c r="C72" s="61"/>
      <c r="D72" s="61"/>
      <c r="E72" s="61"/>
      <c r="F72" s="62"/>
      <c r="G72" s="72"/>
      <c r="H72" s="72"/>
    </row>
    <row r="73" ht="14.25" customHeight="1">
      <c r="B73" s="44"/>
      <c r="C73" s="61"/>
      <c r="D73" s="61"/>
      <c r="E73" s="61"/>
      <c r="F73" s="62"/>
      <c r="G73" s="72"/>
      <c r="H73" s="72"/>
    </row>
    <row r="74" ht="14.25" customHeight="1">
      <c r="B74" s="44"/>
      <c r="C74" s="61"/>
      <c r="D74" s="61"/>
      <c r="E74" s="61"/>
      <c r="F74" s="62"/>
      <c r="G74" s="72"/>
      <c r="H74" s="72"/>
    </row>
    <row r="75" ht="14.25" customHeight="1">
      <c r="B75" s="44"/>
      <c r="C75" s="61"/>
      <c r="D75" s="61"/>
      <c r="E75" s="61"/>
      <c r="F75" s="62"/>
      <c r="G75" s="72"/>
      <c r="H75" s="72"/>
    </row>
    <row r="76" ht="14.25" customHeight="1">
      <c r="B76" s="44"/>
      <c r="C76" s="61"/>
      <c r="D76" s="61"/>
      <c r="E76" s="61"/>
      <c r="F76" s="62"/>
      <c r="G76" s="72"/>
      <c r="H76" s="72"/>
    </row>
    <row r="77" ht="14.25" customHeight="1">
      <c r="B77" s="44"/>
      <c r="C77" s="61"/>
      <c r="D77" s="61"/>
      <c r="E77" s="61"/>
      <c r="F77" s="62"/>
      <c r="G77" s="72"/>
      <c r="H77" s="72"/>
    </row>
    <row r="78" ht="14.25" customHeight="1">
      <c r="B78" s="73"/>
      <c r="C78" s="61"/>
      <c r="D78" s="61"/>
      <c r="E78" s="61"/>
      <c r="F78" s="62"/>
      <c r="G78" s="72"/>
      <c r="H78" s="72"/>
    </row>
    <row r="79" ht="14.25" customHeight="1">
      <c r="B79" s="73"/>
      <c r="C79" s="61"/>
      <c r="D79" s="61"/>
      <c r="E79" s="61"/>
      <c r="F79" s="62"/>
      <c r="G79" s="72"/>
      <c r="H79" s="72"/>
    </row>
    <row r="80" ht="14.25" customHeight="1">
      <c r="B80" s="73"/>
      <c r="C80" s="61"/>
      <c r="D80" s="61"/>
      <c r="E80" s="61"/>
      <c r="F80" s="62"/>
      <c r="G80" s="72"/>
      <c r="H80" s="72"/>
    </row>
    <row r="81" ht="14.25" customHeight="1">
      <c r="B81" s="73"/>
      <c r="C81" s="61"/>
      <c r="D81" s="61"/>
      <c r="E81" s="61"/>
      <c r="F81" s="62"/>
      <c r="G81" s="72"/>
      <c r="H81" s="7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E1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2.0"/>
    <col customWidth="1" min="8" max="12" width="8.71"/>
    <col customWidth="1" min="13" max="13" width="9.43"/>
    <col customWidth="1" min="14" max="26" width="8.71"/>
  </cols>
  <sheetData>
    <row r="1" ht="14.25" customHeight="1">
      <c r="A1" s="10" t="s">
        <v>76</v>
      </c>
      <c r="B1" s="77"/>
      <c r="C1" s="77"/>
      <c r="D1" s="77"/>
      <c r="E1" s="78"/>
      <c r="L1" s="13"/>
      <c r="M1" s="10" t="s">
        <v>77</v>
      </c>
      <c r="N1" s="77"/>
      <c r="O1" s="77"/>
      <c r="P1" s="77"/>
      <c r="Q1" s="77"/>
      <c r="R1" s="78"/>
    </row>
    <row r="2" ht="14.25" customHeight="1">
      <c r="B2" s="8" t="s">
        <v>1</v>
      </c>
      <c r="C2" s="8" t="s">
        <v>2</v>
      </c>
      <c r="D2" s="8" t="s">
        <v>78</v>
      </c>
      <c r="E2" s="8" t="s">
        <v>79</v>
      </c>
      <c r="F2" s="8" t="s">
        <v>80</v>
      </c>
      <c r="H2" s="10" t="s">
        <v>81</v>
      </c>
      <c r="I2" s="78"/>
      <c r="L2" s="13"/>
      <c r="M2" s="6" t="s">
        <v>1</v>
      </c>
      <c r="N2" s="6" t="s">
        <v>82</v>
      </c>
      <c r="O2" s="6" t="s">
        <v>80</v>
      </c>
      <c r="P2" s="6" t="s">
        <v>83</v>
      </c>
      <c r="Q2" s="6" t="s">
        <v>2</v>
      </c>
      <c r="R2" s="6" t="s">
        <v>4</v>
      </c>
    </row>
    <row r="3" ht="14.25" customHeight="1">
      <c r="B3" s="42" t="s">
        <v>44</v>
      </c>
      <c r="C3" s="40">
        <v>2.0</v>
      </c>
      <c r="D3" s="14"/>
      <c r="E3" s="14"/>
      <c r="F3" s="79"/>
      <c r="H3" s="8" t="s">
        <v>84</v>
      </c>
      <c r="I3" s="79">
        <v>0.7142857142857143</v>
      </c>
      <c r="L3" s="13"/>
      <c r="M3" s="8">
        <v>1.0</v>
      </c>
      <c r="N3" s="40">
        <v>7.0</v>
      </c>
      <c r="O3" s="80">
        <v>0.7142857142857143</v>
      </c>
      <c r="P3" s="41">
        <f t="shared" ref="P3:P7" si="1">N3*O3</f>
        <v>5</v>
      </c>
      <c r="Q3" s="40">
        <v>2.0</v>
      </c>
      <c r="R3" s="41">
        <f t="shared" ref="R3:R19" si="2">Q3-P3</f>
        <v>-3</v>
      </c>
    </row>
    <row r="4" ht="14.25" customHeight="1">
      <c r="B4" s="42" t="s">
        <v>46</v>
      </c>
      <c r="C4" s="40">
        <v>3.0</v>
      </c>
      <c r="D4" s="14"/>
      <c r="E4" s="14"/>
      <c r="F4" s="79"/>
      <c r="H4" s="8" t="s">
        <v>85</v>
      </c>
      <c r="I4" s="79">
        <v>1.0</v>
      </c>
      <c r="L4" s="13"/>
      <c r="M4" s="8">
        <v>2.0</v>
      </c>
      <c r="N4" s="40">
        <v>7.0</v>
      </c>
      <c r="O4" s="80">
        <v>1.0</v>
      </c>
      <c r="P4" s="41">
        <f t="shared" si="1"/>
        <v>7</v>
      </c>
      <c r="Q4" s="40">
        <v>3.0</v>
      </c>
      <c r="R4" s="41">
        <f t="shared" si="2"/>
        <v>-4</v>
      </c>
    </row>
    <row r="5" ht="14.25" customHeight="1">
      <c r="B5" s="42" t="s">
        <v>48</v>
      </c>
      <c r="C5" s="40">
        <v>3.0</v>
      </c>
      <c r="D5" s="14"/>
      <c r="E5" s="14"/>
      <c r="F5" s="79"/>
      <c r="H5" s="8" t="s">
        <v>86</v>
      </c>
      <c r="I5" s="79">
        <v>1.5714285714285714</v>
      </c>
      <c r="L5" s="13"/>
      <c r="M5" s="8">
        <v>3.0</v>
      </c>
      <c r="N5" s="40">
        <v>7.0</v>
      </c>
      <c r="O5" s="80">
        <v>1.5714285714285714</v>
      </c>
      <c r="P5" s="41">
        <f t="shared" si="1"/>
        <v>11</v>
      </c>
      <c r="Q5" s="40">
        <v>3.0</v>
      </c>
      <c r="R5" s="41">
        <f t="shared" si="2"/>
        <v>-8</v>
      </c>
    </row>
    <row r="6" ht="14.25" customHeight="1">
      <c r="B6" s="42" t="s">
        <v>50</v>
      </c>
      <c r="C6" s="40">
        <v>4.0</v>
      </c>
      <c r="D6" s="14"/>
      <c r="E6" s="14"/>
      <c r="F6" s="79"/>
      <c r="H6" s="8" t="s">
        <v>87</v>
      </c>
      <c r="I6" s="79">
        <v>1.5714285714285714</v>
      </c>
      <c r="L6" s="13"/>
      <c r="M6" s="8">
        <v>4.0</v>
      </c>
      <c r="N6" s="40">
        <v>7.0</v>
      </c>
      <c r="O6" s="80">
        <v>1.5714285714285714</v>
      </c>
      <c r="P6" s="41">
        <f t="shared" si="1"/>
        <v>11</v>
      </c>
      <c r="Q6" s="40">
        <v>4.0</v>
      </c>
      <c r="R6" s="41">
        <f t="shared" si="2"/>
        <v>-7</v>
      </c>
    </row>
    <row r="7" ht="14.25" customHeight="1">
      <c r="B7" s="42" t="s">
        <v>51</v>
      </c>
      <c r="C7" s="40">
        <v>4.0</v>
      </c>
      <c r="D7" s="14"/>
      <c r="E7" s="14"/>
      <c r="F7" s="79"/>
      <c r="H7" s="8" t="s">
        <v>88</v>
      </c>
      <c r="I7" s="79">
        <v>1.4285714285714286</v>
      </c>
      <c r="L7" s="13"/>
      <c r="M7" s="8">
        <v>5.0</v>
      </c>
      <c r="N7" s="40">
        <v>7.0</v>
      </c>
      <c r="O7" s="80">
        <v>1.4285714285714286</v>
      </c>
      <c r="P7" s="41">
        <f t="shared" si="1"/>
        <v>10</v>
      </c>
      <c r="Q7" s="40">
        <v>4.0</v>
      </c>
      <c r="R7" s="41">
        <f t="shared" si="2"/>
        <v>-6</v>
      </c>
    </row>
    <row r="8" ht="14.25" customHeight="1">
      <c r="B8" s="42" t="s">
        <v>53</v>
      </c>
      <c r="C8" s="40">
        <v>6.0</v>
      </c>
      <c r="D8" s="14"/>
      <c r="E8" s="14"/>
      <c r="F8" s="79"/>
      <c r="H8" s="8" t="s">
        <v>89</v>
      </c>
      <c r="I8" s="79">
        <v>2.0</v>
      </c>
      <c r="L8" s="13"/>
      <c r="M8" s="8">
        <v>6.0</v>
      </c>
      <c r="N8" s="40">
        <v>7.0</v>
      </c>
      <c r="O8" s="80">
        <v>2.0</v>
      </c>
      <c r="P8" s="54">
        <v>0.0</v>
      </c>
      <c r="Q8" s="40">
        <v>6.0</v>
      </c>
      <c r="R8" s="41">
        <f t="shared" si="2"/>
        <v>6</v>
      </c>
    </row>
    <row r="9" ht="14.25" customHeight="1">
      <c r="D9" s="14">
        <f>AVERAGE(C3:C20)</f>
        <v>6.666666667</v>
      </c>
      <c r="E9" s="14"/>
      <c r="F9" s="79"/>
      <c r="H9" s="8" t="s">
        <v>90</v>
      </c>
      <c r="I9" s="79">
        <v>0.42857142857142855</v>
      </c>
      <c r="L9" s="13"/>
      <c r="M9" s="8">
        <v>7.0</v>
      </c>
      <c r="N9" s="40">
        <v>7.0</v>
      </c>
      <c r="O9" s="80">
        <v>0.42857142857142855</v>
      </c>
      <c r="P9" s="41">
        <f t="shared" ref="P9:P26" si="3">N9*O9</f>
        <v>3</v>
      </c>
      <c r="Q9" s="40">
        <v>5.0</v>
      </c>
      <c r="R9" s="41">
        <f t="shared" si="2"/>
        <v>2</v>
      </c>
    </row>
    <row r="10" ht="14.25" customHeight="1">
      <c r="B10" s="42" t="s">
        <v>54</v>
      </c>
      <c r="C10" s="40">
        <v>5.0</v>
      </c>
      <c r="D10" s="14"/>
      <c r="E10" s="81">
        <v>7.0</v>
      </c>
      <c r="F10" s="79">
        <f>AVERAGE(C10/E10)</f>
        <v>0.7142857143</v>
      </c>
      <c r="H10" s="8" t="s">
        <v>91</v>
      </c>
      <c r="I10" s="79">
        <v>0.2857142857142857</v>
      </c>
      <c r="L10" s="13"/>
      <c r="M10" s="8">
        <v>8.0</v>
      </c>
      <c r="N10" s="40">
        <v>7.0</v>
      </c>
      <c r="O10" s="80">
        <v>0.2857142857142857</v>
      </c>
      <c r="P10" s="41">
        <f t="shared" si="3"/>
        <v>2</v>
      </c>
      <c r="Q10" s="40">
        <v>7.0</v>
      </c>
      <c r="R10" s="41">
        <f t="shared" si="2"/>
        <v>5</v>
      </c>
    </row>
    <row r="11" ht="14.25" customHeight="1">
      <c r="B11" s="8"/>
      <c r="C11" s="8"/>
      <c r="D11" s="14">
        <f>AVERAGE(C4:C22)</f>
        <v>6.75</v>
      </c>
      <c r="E11" s="14"/>
      <c r="F11" s="79"/>
      <c r="H11" s="8" t="s">
        <v>92</v>
      </c>
      <c r="I11" s="79">
        <v>0.5714285714285714</v>
      </c>
      <c r="L11" s="13"/>
      <c r="M11" s="8">
        <v>9.0</v>
      </c>
      <c r="N11" s="40">
        <v>7.0</v>
      </c>
      <c r="O11" s="80">
        <v>0.5714285714285714</v>
      </c>
      <c r="P11" s="41">
        <f t="shared" si="3"/>
        <v>4</v>
      </c>
      <c r="Q11" s="40">
        <v>11.0</v>
      </c>
      <c r="R11" s="41">
        <f t="shared" si="2"/>
        <v>7</v>
      </c>
    </row>
    <row r="12" ht="14.25" customHeight="1">
      <c r="B12" s="42" t="s">
        <v>55</v>
      </c>
      <c r="C12" s="40">
        <v>7.0</v>
      </c>
      <c r="E12" s="81">
        <v>7.0</v>
      </c>
      <c r="F12" s="79">
        <f>AVERAGE(C12/E12)</f>
        <v>1</v>
      </c>
      <c r="H12" s="8" t="s">
        <v>93</v>
      </c>
      <c r="I12" s="79">
        <v>0.7142857142857143</v>
      </c>
      <c r="L12" s="13"/>
      <c r="M12" s="8">
        <v>10.0</v>
      </c>
      <c r="N12" s="40">
        <v>7.0</v>
      </c>
      <c r="O12" s="80">
        <v>0.7142857142857143</v>
      </c>
      <c r="P12" s="41">
        <f t="shared" si="3"/>
        <v>5</v>
      </c>
      <c r="Q12" s="40">
        <v>11.0</v>
      </c>
      <c r="R12" s="41">
        <f t="shared" si="2"/>
        <v>6</v>
      </c>
    </row>
    <row r="13" ht="14.25" customHeight="1">
      <c r="B13" s="8"/>
      <c r="C13" s="8"/>
      <c r="D13" s="14">
        <f>AVERAGE(C5:C24)</f>
        <v>6.666666667</v>
      </c>
      <c r="E13" s="14"/>
      <c r="F13" s="79"/>
      <c r="H13" s="8" t="s">
        <v>94</v>
      </c>
      <c r="I13" s="79">
        <v>0.7959183673469388</v>
      </c>
      <c r="L13" s="13"/>
      <c r="M13" s="8">
        <v>11.0</v>
      </c>
      <c r="N13" s="40">
        <v>7.0</v>
      </c>
      <c r="O13" s="80">
        <v>0.7959183673469388</v>
      </c>
      <c r="P13" s="41">
        <f t="shared" si="3"/>
        <v>5.571428571</v>
      </c>
      <c r="Q13" s="40">
        <v>10.0</v>
      </c>
      <c r="R13" s="41">
        <f t="shared" si="2"/>
        <v>4.428571429</v>
      </c>
    </row>
    <row r="14" ht="14.25" customHeight="1">
      <c r="B14" s="42" t="s">
        <v>56</v>
      </c>
      <c r="C14" s="40">
        <v>11.0</v>
      </c>
      <c r="D14" s="14"/>
      <c r="E14" s="81">
        <v>7.0</v>
      </c>
      <c r="F14" s="79">
        <f>AVERAGE(C14/E14)</f>
        <v>1.571428571</v>
      </c>
      <c r="H14" s="8" t="s">
        <v>95</v>
      </c>
      <c r="I14" s="79">
        <v>0.75</v>
      </c>
      <c r="J14" s="13"/>
      <c r="K14" s="82"/>
      <c r="L14" s="13"/>
      <c r="M14" s="8">
        <v>12.0</v>
      </c>
      <c r="N14" s="40">
        <v>7.0</v>
      </c>
      <c r="O14" s="80">
        <v>0.75</v>
      </c>
      <c r="P14" s="41">
        <f t="shared" si="3"/>
        <v>5.25</v>
      </c>
      <c r="Q14" s="40">
        <v>14.0</v>
      </c>
      <c r="R14" s="41">
        <f t="shared" si="2"/>
        <v>8.75</v>
      </c>
    </row>
    <row r="15" ht="14.25" customHeight="1">
      <c r="B15" s="8"/>
      <c r="C15" s="8"/>
      <c r="D15" s="14">
        <f>AVERAGE(C6:C26)</f>
        <v>6.75</v>
      </c>
      <c r="E15" s="14"/>
      <c r="F15" s="79"/>
      <c r="J15" s="83"/>
      <c r="K15" s="84"/>
      <c r="L15" s="13"/>
      <c r="M15" s="8">
        <v>13.0</v>
      </c>
      <c r="N15" s="40">
        <v>7.0</v>
      </c>
      <c r="O15" s="80">
        <v>0.7142857142857143</v>
      </c>
      <c r="P15" s="41">
        <f t="shared" si="3"/>
        <v>5</v>
      </c>
      <c r="Q15" s="40">
        <v>3.0</v>
      </c>
      <c r="R15" s="41">
        <f t="shared" si="2"/>
        <v>-2</v>
      </c>
    </row>
    <row r="16" ht="14.25" customHeight="1">
      <c r="B16" s="42" t="s">
        <v>58</v>
      </c>
      <c r="C16" s="40">
        <v>11.0</v>
      </c>
      <c r="D16" s="14"/>
      <c r="E16" s="81">
        <v>7.0</v>
      </c>
      <c r="F16" s="79">
        <f>AVERAGE(C16/E16)</f>
        <v>1.571428571</v>
      </c>
      <c r="J16" s="83"/>
      <c r="L16" s="13"/>
      <c r="M16" s="8">
        <v>14.0</v>
      </c>
      <c r="N16" s="40">
        <v>7.0</v>
      </c>
      <c r="O16" s="80">
        <v>1.0</v>
      </c>
      <c r="P16" s="41">
        <f t="shared" si="3"/>
        <v>7</v>
      </c>
      <c r="Q16" s="40">
        <v>2.0</v>
      </c>
      <c r="R16" s="41">
        <f t="shared" si="2"/>
        <v>-5</v>
      </c>
    </row>
    <row r="17" ht="14.25" customHeight="1">
      <c r="B17" s="8"/>
      <c r="C17" s="8"/>
      <c r="D17" s="14">
        <f>AVERAGE(C7:C28)</f>
        <v>6.833333333</v>
      </c>
      <c r="E17" s="14"/>
      <c r="F17" s="79"/>
      <c r="J17" s="83"/>
      <c r="K17" s="84"/>
      <c r="L17" s="13"/>
      <c r="M17" s="8">
        <v>15.0</v>
      </c>
      <c r="N17" s="40">
        <v>7.0</v>
      </c>
      <c r="O17" s="80">
        <v>1.5714285714285714</v>
      </c>
      <c r="P17" s="41">
        <f t="shared" si="3"/>
        <v>11</v>
      </c>
      <c r="Q17" s="40">
        <v>4.0</v>
      </c>
      <c r="R17" s="41">
        <f t="shared" si="2"/>
        <v>-7</v>
      </c>
    </row>
    <row r="18" ht="14.25" customHeight="1">
      <c r="B18" s="42" t="s">
        <v>59</v>
      </c>
      <c r="C18" s="40">
        <v>10.0</v>
      </c>
      <c r="D18" s="14"/>
      <c r="E18" s="81">
        <v>7.0</v>
      </c>
      <c r="F18" s="79">
        <f>AVERAGE(C18/E18)</f>
        <v>1.428571429</v>
      </c>
      <c r="J18" s="83"/>
      <c r="K18" s="84"/>
      <c r="L18" s="13"/>
      <c r="M18" s="8">
        <v>16.0</v>
      </c>
      <c r="N18" s="40">
        <v>7.0</v>
      </c>
      <c r="O18" s="80">
        <v>1.5714285714285714</v>
      </c>
      <c r="P18" s="41">
        <f t="shared" si="3"/>
        <v>11</v>
      </c>
      <c r="Q18" s="40">
        <v>5.0</v>
      </c>
      <c r="R18" s="41">
        <f t="shared" si="2"/>
        <v>-6</v>
      </c>
    </row>
    <row r="19" ht="14.25" customHeight="1">
      <c r="B19" s="8"/>
      <c r="C19" s="8"/>
      <c r="D19" s="14">
        <f>AVERAGE(C8:C30)</f>
        <v>7</v>
      </c>
      <c r="E19" s="14"/>
      <c r="F19" s="79"/>
      <c r="J19" s="83"/>
      <c r="L19" s="13"/>
      <c r="M19" s="8">
        <v>17.0</v>
      </c>
      <c r="N19" s="40">
        <v>7.0</v>
      </c>
      <c r="O19" s="80">
        <v>1.4285714285714286</v>
      </c>
      <c r="P19" s="41">
        <f t="shared" si="3"/>
        <v>10</v>
      </c>
      <c r="Q19" s="40">
        <v>6.0</v>
      </c>
      <c r="R19" s="41">
        <f t="shared" si="2"/>
        <v>-4</v>
      </c>
    </row>
    <row r="20" ht="14.25" customHeight="1">
      <c r="B20" s="42" t="s">
        <v>60</v>
      </c>
      <c r="C20" s="40">
        <v>14.0</v>
      </c>
      <c r="D20" s="14"/>
      <c r="E20" s="81">
        <v>7.0</v>
      </c>
      <c r="F20" s="79">
        <f>AVERAGE(C20/E20)</f>
        <v>2</v>
      </c>
      <c r="J20" s="83"/>
      <c r="K20" s="84"/>
      <c r="L20" s="13"/>
      <c r="M20" s="8">
        <v>18.0</v>
      </c>
      <c r="N20" s="40">
        <v>7.0</v>
      </c>
      <c r="O20" s="80">
        <v>2.0</v>
      </c>
      <c r="P20" s="41">
        <f t="shared" si="3"/>
        <v>14</v>
      </c>
      <c r="Q20" s="23">
        <v>6.0</v>
      </c>
      <c r="R20" s="41">
        <f t="shared" ref="R20:R26" si="4">Q21-P20</f>
        <v>-7</v>
      </c>
    </row>
    <row r="21" ht="14.25" customHeight="1">
      <c r="B21" s="8"/>
      <c r="C21" s="8"/>
      <c r="D21" s="14">
        <f>AVERAGE(C10:C32)</f>
        <v>7</v>
      </c>
      <c r="E21" s="14"/>
      <c r="F21" s="79"/>
      <c r="J21" s="83"/>
      <c r="K21" s="84"/>
      <c r="L21" s="13"/>
      <c r="M21" s="8">
        <v>19.0</v>
      </c>
      <c r="N21" s="40">
        <v>7.0</v>
      </c>
      <c r="O21" s="80">
        <v>0.42857142857142855</v>
      </c>
      <c r="P21" s="41">
        <f t="shared" si="3"/>
        <v>3</v>
      </c>
      <c r="Q21" s="40">
        <v>7.0</v>
      </c>
      <c r="R21" s="41">
        <f t="shared" si="4"/>
        <v>5</v>
      </c>
    </row>
    <row r="22" ht="14.25" customHeight="1">
      <c r="B22" s="42" t="s">
        <v>62</v>
      </c>
      <c r="C22" s="40">
        <v>3.0</v>
      </c>
      <c r="D22" s="14"/>
      <c r="E22" s="81">
        <v>7.0</v>
      </c>
      <c r="F22" s="79">
        <f>AVERAGE(C22/E22)</f>
        <v>0.4285714286</v>
      </c>
      <c r="J22" s="83"/>
      <c r="L22" s="13"/>
      <c r="M22" s="8">
        <v>20.0</v>
      </c>
      <c r="N22" s="40">
        <v>7.0</v>
      </c>
      <c r="O22" s="80">
        <v>0.2857142857142857</v>
      </c>
      <c r="P22" s="41">
        <f t="shared" si="3"/>
        <v>2</v>
      </c>
      <c r="Q22" s="40">
        <v>8.0</v>
      </c>
      <c r="R22" s="41">
        <f t="shared" si="4"/>
        <v>8</v>
      </c>
    </row>
    <row r="23" ht="14.25" customHeight="1">
      <c r="B23" s="8"/>
      <c r="C23" s="8"/>
      <c r="D23" s="14">
        <f>AVERAGE(C12:C34)</f>
        <v>7.166666667</v>
      </c>
      <c r="E23" s="14"/>
      <c r="F23" s="79"/>
      <c r="J23" s="83"/>
      <c r="L23" s="13"/>
      <c r="M23" s="8">
        <v>21.0</v>
      </c>
      <c r="N23" s="40">
        <v>7.0</v>
      </c>
      <c r="O23" s="80">
        <v>0.5714285714285714</v>
      </c>
      <c r="P23" s="41">
        <f t="shared" si="3"/>
        <v>4</v>
      </c>
      <c r="Q23" s="40">
        <v>10.0</v>
      </c>
      <c r="R23" s="41">
        <f t="shared" si="4"/>
        <v>7</v>
      </c>
    </row>
    <row r="24" ht="14.25" customHeight="1">
      <c r="B24" s="42" t="s">
        <v>63</v>
      </c>
      <c r="C24" s="40">
        <v>2.0</v>
      </c>
      <c r="D24" s="14"/>
      <c r="E24" s="81">
        <v>7.0</v>
      </c>
      <c r="F24" s="79">
        <f>AVERAGE(C24/E24)</f>
        <v>0.2857142857</v>
      </c>
      <c r="J24" s="83"/>
      <c r="K24" s="84"/>
      <c r="L24" s="13"/>
      <c r="M24" s="8">
        <v>22.0</v>
      </c>
      <c r="N24" s="40">
        <v>7.0</v>
      </c>
      <c r="O24" s="80">
        <v>0.7142857142857143</v>
      </c>
      <c r="P24" s="41">
        <f t="shared" si="3"/>
        <v>5</v>
      </c>
      <c r="Q24" s="40">
        <v>11.0</v>
      </c>
      <c r="R24" s="41">
        <f t="shared" si="4"/>
        <v>8</v>
      </c>
    </row>
    <row r="25" ht="14.25" customHeight="1">
      <c r="B25" s="8"/>
      <c r="C25" s="8"/>
      <c r="D25" s="14">
        <f>AVERAGE(C14:C35)</f>
        <v>7.25</v>
      </c>
      <c r="E25" s="14"/>
      <c r="F25" s="79"/>
      <c r="J25" s="83"/>
      <c r="L25" s="13"/>
      <c r="M25" s="8">
        <v>23.0</v>
      </c>
      <c r="N25" s="40">
        <v>7.0</v>
      </c>
      <c r="O25" s="80">
        <v>0.7959183673469388</v>
      </c>
      <c r="P25" s="41">
        <f t="shared" si="3"/>
        <v>5.571428571</v>
      </c>
      <c r="Q25" s="40">
        <v>13.0</v>
      </c>
      <c r="R25" s="41">
        <f t="shared" si="4"/>
        <v>10.42857143</v>
      </c>
    </row>
    <row r="26" ht="14.25" customHeight="1">
      <c r="B26" s="42" t="s">
        <v>48</v>
      </c>
      <c r="C26" s="40">
        <v>4.0</v>
      </c>
      <c r="E26" s="81">
        <v>7.0</v>
      </c>
      <c r="F26" s="79">
        <f>AVERAGE(C26/E26)</f>
        <v>0.5714285714</v>
      </c>
      <c r="J26" s="83"/>
      <c r="L26" s="13"/>
      <c r="M26" s="8">
        <v>24.0</v>
      </c>
      <c r="N26" s="40">
        <v>7.0</v>
      </c>
      <c r="O26" s="80">
        <v>0.75</v>
      </c>
      <c r="P26" s="41">
        <f t="shared" si="3"/>
        <v>5.25</v>
      </c>
      <c r="Q26" s="40">
        <v>16.0</v>
      </c>
      <c r="R26" s="41">
        <f t="shared" si="4"/>
        <v>-5.25</v>
      </c>
    </row>
    <row r="27" ht="14.25" customHeight="1">
      <c r="B27" s="8"/>
      <c r="C27" s="8"/>
      <c r="D27" s="14">
        <f>AVERAGE(C15:C36)</f>
        <v>7.166666667</v>
      </c>
      <c r="E27" s="14"/>
      <c r="F27" s="79"/>
      <c r="J27" s="83"/>
      <c r="M27" s="17" t="s">
        <v>27</v>
      </c>
      <c r="N27" s="3"/>
      <c r="O27" s="3"/>
      <c r="P27" s="3"/>
      <c r="Q27" s="22"/>
      <c r="R27" s="41">
        <f>SUM(R2:R26)</f>
        <v>13.35714286</v>
      </c>
    </row>
    <row r="28" ht="14.25" customHeight="1">
      <c r="B28" s="42" t="s">
        <v>65</v>
      </c>
      <c r="C28" s="40">
        <v>5.0</v>
      </c>
      <c r="E28" s="81">
        <v>7.0</v>
      </c>
      <c r="F28" s="79">
        <f>AVERAGE(C28/E28)</f>
        <v>0.7142857143</v>
      </c>
      <c r="J28" s="83"/>
      <c r="M28" s="17" t="s">
        <v>9</v>
      </c>
      <c r="N28" s="3"/>
      <c r="O28" s="3"/>
      <c r="P28" s="3"/>
      <c r="Q28" s="22"/>
      <c r="R28" s="25"/>
    </row>
    <row r="29" ht="14.25" customHeight="1">
      <c r="B29" s="8"/>
      <c r="C29" s="8"/>
      <c r="D29" s="14">
        <f>AVERAGE(C16:C37)</f>
        <v>7.461538462</v>
      </c>
      <c r="E29" s="14"/>
      <c r="F29" s="79"/>
      <c r="G29" s="83"/>
    </row>
    <row r="30" ht="14.25" customHeight="1">
      <c r="B30" s="42" t="s">
        <v>66</v>
      </c>
      <c r="C30" s="40">
        <v>6.0</v>
      </c>
      <c r="E30" s="14">
        <f>AVERAGE(D29:D31)</f>
        <v>7.538461538</v>
      </c>
      <c r="F30" s="79">
        <f>AVERAGE(C30/E30)</f>
        <v>0.7959183673</v>
      </c>
      <c r="G30" s="83"/>
    </row>
    <row r="31" ht="14.25" customHeight="1">
      <c r="B31" s="8"/>
      <c r="C31" s="8"/>
      <c r="D31" s="14">
        <f>AVERAGE(C17:C38)</f>
        <v>7.615384615</v>
      </c>
      <c r="E31" s="14"/>
      <c r="F31" s="79"/>
    </row>
    <row r="32" ht="14.25" customHeight="1">
      <c r="B32" s="42" t="s">
        <v>67</v>
      </c>
      <c r="C32" s="40">
        <v>6.0</v>
      </c>
      <c r="E32" s="81">
        <v>8.0</v>
      </c>
      <c r="F32" s="79">
        <f>AVERAGE(C32/E32)</f>
        <v>0.75</v>
      </c>
    </row>
    <row r="33" ht="14.25" customHeight="1">
      <c r="D33" s="14">
        <f>AVERAGE(C18:C39)</f>
        <v>8.214285714</v>
      </c>
      <c r="E33" s="14"/>
      <c r="F33" s="79"/>
    </row>
    <row r="34" ht="14.25" customHeight="1">
      <c r="B34" s="42" t="s">
        <v>68</v>
      </c>
      <c r="C34" s="40">
        <v>7.0</v>
      </c>
      <c r="E34" s="14"/>
      <c r="F34" s="79"/>
    </row>
    <row r="35" ht="14.25" customHeight="1">
      <c r="B35" s="42" t="s">
        <v>69</v>
      </c>
      <c r="C35" s="40">
        <v>8.0</v>
      </c>
      <c r="D35" s="14"/>
      <c r="E35" s="14"/>
      <c r="F35" s="79"/>
    </row>
    <row r="36" ht="14.25" customHeight="1">
      <c r="B36" s="42" t="s">
        <v>70</v>
      </c>
      <c r="C36" s="40">
        <v>10.0</v>
      </c>
      <c r="D36" s="14"/>
      <c r="E36" s="14"/>
      <c r="F36" s="79"/>
    </row>
    <row r="37" ht="14.25" customHeight="1">
      <c r="B37" s="42" t="s">
        <v>72</v>
      </c>
      <c r="C37" s="40">
        <v>11.0</v>
      </c>
      <c r="D37" s="14"/>
      <c r="E37" s="14"/>
      <c r="F37" s="79"/>
      <c r="H37" s="82"/>
    </row>
    <row r="38" ht="14.25" customHeight="1">
      <c r="B38" s="42" t="s">
        <v>73</v>
      </c>
      <c r="C38" s="73">
        <v>13.0</v>
      </c>
      <c r="D38" s="14"/>
      <c r="E38" s="14"/>
      <c r="F38" s="79"/>
    </row>
    <row r="39" ht="14.25" customHeight="1">
      <c r="B39" s="42" t="s">
        <v>74</v>
      </c>
      <c r="C39" s="73">
        <v>16.0</v>
      </c>
      <c r="D39" s="14"/>
      <c r="E39" s="14"/>
      <c r="F39" s="79"/>
      <c r="H39" s="13"/>
      <c r="I39" s="82"/>
    </row>
    <row r="40" ht="14.25" customHeight="1">
      <c r="B40" s="17" t="s">
        <v>96</v>
      </c>
      <c r="C40" s="22"/>
      <c r="D40" s="14"/>
      <c r="E40" s="14">
        <f>AVERAGE(E10:E32)</f>
        <v>7.128205128</v>
      </c>
      <c r="F40" s="85"/>
    </row>
    <row r="41" ht="14.25" customHeight="1">
      <c r="F41" s="86"/>
    </row>
    <row r="42" ht="14.25" customHeight="1">
      <c r="F42" s="86"/>
      <c r="H42" s="13"/>
      <c r="I42" s="82"/>
    </row>
    <row r="43" ht="14.25" customHeight="1">
      <c r="A43" s="87"/>
      <c r="B43" s="87"/>
      <c r="C43" s="87"/>
      <c r="D43" s="87"/>
      <c r="E43" s="87"/>
      <c r="F43" s="88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4.25" customHeight="1">
      <c r="A44" s="87"/>
      <c r="B44" s="87"/>
      <c r="C44" s="87"/>
      <c r="D44" s="87"/>
      <c r="E44" s="87"/>
      <c r="F44" s="88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4.25" customHeight="1">
      <c r="F45" s="86"/>
      <c r="H45" s="13"/>
      <c r="I45" s="82"/>
      <c r="J45" s="82"/>
    </row>
    <row r="46" ht="14.25" customHeight="1">
      <c r="F46" s="85"/>
      <c r="I46" s="82"/>
      <c r="J46" s="82"/>
    </row>
    <row r="47" ht="14.25" customHeight="1">
      <c r="F47" s="85"/>
      <c r="I47" s="82"/>
      <c r="J47" s="82"/>
      <c r="L47" s="8" t="s">
        <v>1</v>
      </c>
      <c r="M47" s="8" t="s">
        <v>82</v>
      </c>
      <c r="N47" s="73" t="s">
        <v>80</v>
      </c>
      <c r="O47" s="8" t="s">
        <v>83</v>
      </c>
      <c r="P47" s="73" t="s">
        <v>2</v>
      </c>
      <c r="Q47" s="73" t="s">
        <v>4</v>
      </c>
    </row>
    <row r="48" ht="14.25" customHeight="1">
      <c r="B48" s="30"/>
      <c r="C48" s="73" t="s">
        <v>97</v>
      </c>
      <c r="D48" s="8" t="s">
        <v>79</v>
      </c>
      <c r="E48" s="8" t="s">
        <v>79</v>
      </c>
      <c r="F48" s="8" t="s">
        <v>80</v>
      </c>
      <c r="H48" s="10" t="s">
        <v>81</v>
      </c>
      <c r="I48" s="78"/>
      <c r="L48" s="8">
        <f t="array" ref="L48:L66">SEQUENCE(19,1)</f>
        <v>1</v>
      </c>
      <c r="M48" s="14">
        <v>15.00347222277778</v>
      </c>
      <c r="N48" s="89">
        <v>0.9122807017543859</v>
      </c>
      <c r="O48" s="62">
        <f t="shared" ref="O48:O71" si="5">M48*N48</f>
        <v>13.68737817</v>
      </c>
      <c r="P48" s="40">
        <v>6.0</v>
      </c>
      <c r="Q48" s="62">
        <f t="shared" ref="Q48:Q71" si="6">P48-O48</f>
        <v>-7.687378168</v>
      </c>
    </row>
    <row r="49" ht="14.25" customHeight="1">
      <c r="B49" s="73">
        <v>1.0</v>
      </c>
      <c r="C49" s="40">
        <v>6.0</v>
      </c>
      <c r="D49" s="8"/>
      <c r="E49" s="30"/>
      <c r="F49" s="8"/>
      <c r="H49" s="8" t="s">
        <v>84</v>
      </c>
      <c r="I49" s="90">
        <v>0.9122807017543859</v>
      </c>
      <c r="L49" s="61">
        <v>2.0</v>
      </c>
      <c r="M49" s="14">
        <v>15.00347222277778</v>
      </c>
      <c r="N49" s="89">
        <v>1.126099706744868</v>
      </c>
      <c r="O49" s="62">
        <f t="shared" si="5"/>
        <v>16.89540567</v>
      </c>
      <c r="P49" s="40">
        <v>9.0</v>
      </c>
      <c r="Q49" s="62">
        <f t="shared" si="6"/>
        <v>-7.89540567</v>
      </c>
    </row>
    <row r="50" ht="14.25" customHeight="1">
      <c r="B50" s="73">
        <v>2.0</v>
      </c>
      <c r="C50" s="40">
        <v>9.0</v>
      </c>
      <c r="D50" s="30"/>
      <c r="E50" s="30"/>
      <c r="F50" s="90"/>
      <c r="H50" s="8" t="s">
        <v>85</v>
      </c>
      <c r="I50" s="90">
        <v>1.126099706744868</v>
      </c>
      <c r="L50" s="61">
        <v>3.0</v>
      </c>
      <c r="M50" s="14">
        <v>15.00347222277778</v>
      </c>
      <c r="N50" s="89">
        <v>1.3411764705882352</v>
      </c>
      <c r="O50" s="62">
        <f t="shared" si="5"/>
        <v>20.12230392</v>
      </c>
      <c r="P50" s="40">
        <v>8.0</v>
      </c>
      <c r="Q50" s="62">
        <f t="shared" si="6"/>
        <v>-12.12230392</v>
      </c>
    </row>
    <row r="51" ht="14.25" customHeight="1">
      <c r="B51" s="73">
        <v>3.0</v>
      </c>
      <c r="C51" s="40">
        <v>8.0</v>
      </c>
      <c r="D51" s="30"/>
      <c r="E51" s="30"/>
      <c r="F51" s="90"/>
      <c r="H51" s="8" t="s">
        <v>86</v>
      </c>
      <c r="I51" s="90">
        <v>1.3411764705882352</v>
      </c>
      <c r="L51" s="61">
        <v>4.0</v>
      </c>
      <c r="M51" s="14">
        <v>15.00347222277778</v>
      </c>
      <c r="N51" s="89">
        <v>1.3953488372093024</v>
      </c>
      <c r="O51" s="62">
        <f t="shared" si="5"/>
        <v>20.93507752</v>
      </c>
      <c r="P51" s="40">
        <v>10.0</v>
      </c>
      <c r="Q51" s="62">
        <f t="shared" si="6"/>
        <v>-10.93507752</v>
      </c>
    </row>
    <row r="52" ht="14.25" customHeight="1">
      <c r="B52" s="73">
        <v>4.0</v>
      </c>
      <c r="C52" s="40">
        <v>10.0</v>
      </c>
      <c r="D52" s="30"/>
      <c r="E52" s="30"/>
      <c r="F52" s="90"/>
      <c r="H52" s="8" t="s">
        <v>87</v>
      </c>
      <c r="I52" s="90">
        <v>1.3953488372093024</v>
      </c>
      <c r="L52" s="61">
        <v>5.0</v>
      </c>
      <c r="M52" s="14">
        <v>15.00347222277778</v>
      </c>
      <c r="N52" s="89">
        <v>1.5042735042735043</v>
      </c>
      <c r="O52" s="62">
        <f t="shared" si="5"/>
        <v>22.56932574</v>
      </c>
      <c r="P52" s="40">
        <v>9.0</v>
      </c>
      <c r="Q52" s="62">
        <f t="shared" si="6"/>
        <v>-13.56932574</v>
      </c>
    </row>
    <row r="53" ht="14.25" customHeight="1">
      <c r="B53" s="73">
        <v>5.0</v>
      </c>
      <c r="C53" s="40">
        <v>9.0</v>
      </c>
      <c r="D53" s="30"/>
      <c r="E53" s="30"/>
      <c r="F53" s="90"/>
      <c r="H53" s="8" t="s">
        <v>88</v>
      </c>
      <c r="I53" s="90">
        <v>1.5042735042735043</v>
      </c>
      <c r="L53" s="61">
        <v>6.0</v>
      </c>
      <c r="M53" s="14">
        <v>15.00347222277778</v>
      </c>
      <c r="N53" s="89">
        <v>1.6759776536312847</v>
      </c>
      <c r="O53" s="62">
        <f t="shared" si="5"/>
        <v>25.14548417</v>
      </c>
      <c r="P53" s="40">
        <v>13.0</v>
      </c>
      <c r="Q53" s="62">
        <f t="shared" si="6"/>
        <v>-12.14548417</v>
      </c>
    </row>
    <row r="54" ht="14.25" customHeight="1">
      <c r="B54" s="73">
        <v>6.0</v>
      </c>
      <c r="C54" s="40">
        <v>13.0</v>
      </c>
      <c r="D54" s="31"/>
      <c r="E54" s="30"/>
      <c r="F54" s="90"/>
      <c r="H54" s="8" t="s">
        <v>89</v>
      </c>
      <c r="I54" s="90">
        <v>1.6759776536312847</v>
      </c>
      <c r="L54" s="61">
        <v>7.0</v>
      </c>
      <c r="M54" s="14">
        <v>15.00347222277778</v>
      </c>
      <c r="N54" s="89">
        <v>0.526027397260274</v>
      </c>
      <c r="O54" s="62">
        <f t="shared" si="5"/>
        <v>7.892237443</v>
      </c>
      <c r="P54" s="40">
        <v>13.0</v>
      </c>
      <c r="Q54" s="62">
        <f t="shared" si="6"/>
        <v>5.107762557</v>
      </c>
    </row>
    <row r="55" ht="14.25" customHeight="1">
      <c r="B55" s="40"/>
      <c r="C55" s="61"/>
      <c r="D55" s="30">
        <f>AVERAGE(C49:C66)</f>
        <v>14.16666667</v>
      </c>
      <c r="E55" s="30"/>
      <c r="F55" s="90"/>
      <c r="H55" s="8" t="s">
        <v>90</v>
      </c>
      <c r="I55" s="90">
        <v>0.526027397260274</v>
      </c>
      <c r="L55" s="61">
        <v>8.0</v>
      </c>
      <c r="M55" s="14">
        <v>15.00347222277778</v>
      </c>
      <c r="N55" s="89">
        <v>0.3870967741935484</v>
      </c>
      <c r="O55" s="62">
        <f t="shared" si="5"/>
        <v>5.807795699</v>
      </c>
      <c r="P55" s="40">
        <v>16.0</v>
      </c>
      <c r="Q55" s="62">
        <f t="shared" si="6"/>
        <v>10.1922043</v>
      </c>
    </row>
    <row r="56" ht="14.25" customHeight="1">
      <c r="B56" s="40">
        <v>7.0</v>
      </c>
      <c r="C56" s="40">
        <v>13.0</v>
      </c>
      <c r="D56" s="30"/>
      <c r="E56" s="30">
        <f>AVERAGE(D55,D57)</f>
        <v>14.25</v>
      </c>
      <c r="F56" s="90">
        <f>C56/E56</f>
        <v>0.9122807018</v>
      </c>
      <c r="H56" s="8" t="s">
        <v>91</v>
      </c>
      <c r="I56" s="90">
        <v>0.3870967741935484</v>
      </c>
      <c r="L56" s="61">
        <v>9.0</v>
      </c>
      <c r="M56" s="14">
        <v>15.00347222277778</v>
      </c>
      <c r="N56" s="89">
        <v>0.6382978723404255</v>
      </c>
      <c r="O56" s="62">
        <f t="shared" si="5"/>
        <v>9.576684398</v>
      </c>
      <c r="P56" s="40">
        <v>19.0</v>
      </c>
      <c r="Q56" s="62">
        <f t="shared" si="6"/>
        <v>9.423315602</v>
      </c>
    </row>
    <row r="57" ht="14.25" customHeight="1">
      <c r="B57" s="40"/>
      <c r="C57" s="61"/>
      <c r="D57" s="30">
        <f>AVERAGE(C50:C68)</f>
        <v>14.33333333</v>
      </c>
      <c r="E57" s="30"/>
      <c r="F57" s="90"/>
      <c r="H57" s="8" t="s">
        <v>92</v>
      </c>
      <c r="I57" s="90">
        <v>0.6382978723404255</v>
      </c>
      <c r="L57" s="61">
        <v>10.0</v>
      </c>
      <c r="M57" s="14">
        <v>15.00347222277778</v>
      </c>
      <c r="N57" s="89">
        <v>0.7578947368421053</v>
      </c>
      <c r="O57" s="62">
        <f t="shared" si="5"/>
        <v>11.37105263</v>
      </c>
      <c r="P57" s="40">
        <v>20.0</v>
      </c>
      <c r="Q57" s="62">
        <f t="shared" si="6"/>
        <v>8.628947368</v>
      </c>
    </row>
    <row r="58" ht="14.25" customHeight="1">
      <c r="B58" s="40">
        <v>8.0</v>
      </c>
      <c r="C58" s="40">
        <v>16.0</v>
      </c>
      <c r="D58" s="30"/>
      <c r="E58" s="30">
        <f>AVERAGE(D57,D59)</f>
        <v>14.20833333</v>
      </c>
      <c r="F58" s="90">
        <f>C58/E58</f>
        <v>1.126099707</v>
      </c>
      <c r="H58" s="8" t="s">
        <v>93</v>
      </c>
      <c r="I58" s="91">
        <v>0.7578947368421053</v>
      </c>
      <c r="L58" s="61">
        <v>11.0</v>
      </c>
      <c r="M58" s="14">
        <v>15.00347222277778</v>
      </c>
      <c r="N58" s="89">
        <v>0.8936170210864645</v>
      </c>
      <c r="O58" s="62">
        <f t="shared" si="5"/>
        <v>13.40735815</v>
      </c>
      <c r="P58" s="40">
        <v>22.0</v>
      </c>
      <c r="Q58" s="62">
        <f t="shared" si="6"/>
        <v>8.592641846</v>
      </c>
    </row>
    <row r="59" ht="14.25" customHeight="1">
      <c r="B59" s="40"/>
      <c r="C59" s="61"/>
      <c r="D59" s="30">
        <f>AVERAGE(C51:C70)</f>
        <v>14.08333333</v>
      </c>
      <c r="E59" s="30"/>
      <c r="F59" s="90"/>
      <c r="H59" s="8" t="s">
        <v>94</v>
      </c>
      <c r="I59" s="90">
        <v>0.8936170210864645</v>
      </c>
      <c r="L59" s="61">
        <v>12.0</v>
      </c>
      <c r="M59" s="14">
        <v>15.00347222277778</v>
      </c>
      <c r="N59" s="89">
        <v>0.9574468083069262</v>
      </c>
      <c r="O59" s="62">
        <f t="shared" si="5"/>
        <v>14.36502659</v>
      </c>
      <c r="P59" s="40">
        <v>25.0</v>
      </c>
      <c r="Q59" s="62">
        <f t="shared" si="6"/>
        <v>10.63497341</v>
      </c>
    </row>
    <row r="60" ht="14.25" customHeight="1">
      <c r="B60" s="40">
        <v>9.0</v>
      </c>
      <c r="C60" s="40">
        <v>19.0</v>
      </c>
      <c r="D60" s="30"/>
      <c r="E60" s="30">
        <f>AVERAGE(D59,D61)</f>
        <v>14.16666667</v>
      </c>
      <c r="F60" s="90">
        <f>C60/E60</f>
        <v>1.341176471</v>
      </c>
      <c r="H60" s="8" t="s">
        <v>95</v>
      </c>
      <c r="I60" s="90">
        <v>0.9574468083069262</v>
      </c>
      <c r="L60" s="61">
        <v>13.0</v>
      </c>
      <c r="M60" s="14">
        <v>15.00347222277778</v>
      </c>
      <c r="N60" s="89">
        <v>0.9122807017543859</v>
      </c>
      <c r="O60" s="62">
        <f t="shared" si="5"/>
        <v>13.68737817</v>
      </c>
      <c r="P60" s="40">
        <v>8.0</v>
      </c>
      <c r="Q60" s="62">
        <f t="shared" si="6"/>
        <v>-5.687378168</v>
      </c>
    </row>
    <row r="61" ht="14.25" customHeight="1">
      <c r="B61" s="40"/>
      <c r="C61" s="61"/>
      <c r="D61" s="30">
        <f>AVERAGE(C52:C72)</f>
        <v>14.25</v>
      </c>
      <c r="E61" s="30"/>
      <c r="F61" s="90"/>
      <c r="H61" s="13"/>
      <c r="I61" s="82"/>
      <c r="L61" s="61">
        <v>14.0</v>
      </c>
      <c r="M61" s="14">
        <v>15.00347222277778</v>
      </c>
      <c r="N61" s="89">
        <v>1.126099706744868</v>
      </c>
      <c r="O61" s="62">
        <f t="shared" si="5"/>
        <v>16.89540567</v>
      </c>
      <c r="P61" s="73">
        <v>6.0</v>
      </c>
      <c r="Q61" s="62">
        <f t="shared" si="6"/>
        <v>-10.89540567</v>
      </c>
    </row>
    <row r="62" ht="14.25" customHeight="1">
      <c r="B62" s="40">
        <v>10.0</v>
      </c>
      <c r="C62" s="40">
        <v>20.0</v>
      </c>
      <c r="E62" s="30">
        <f>AVERAGE(D61,D63)</f>
        <v>14.33333333</v>
      </c>
      <c r="F62" s="90">
        <f>C62/E62</f>
        <v>1.395348837</v>
      </c>
      <c r="L62" s="61">
        <v>15.0</v>
      </c>
      <c r="M62" s="14">
        <v>15.00347222277778</v>
      </c>
      <c r="N62" s="89">
        <v>1.3411764705882352</v>
      </c>
      <c r="O62" s="62">
        <f t="shared" si="5"/>
        <v>20.12230392</v>
      </c>
      <c r="P62" s="73">
        <v>10.0</v>
      </c>
      <c r="Q62" s="62">
        <f t="shared" si="6"/>
        <v>-10.12230392</v>
      </c>
    </row>
    <row r="63" ht="14.25" customHeight="1">
      <c r="B63" s="61"/>
      <c r="C63" s="61"/>
      <c r="D63" s="30">
        <f>AVERAGE(C53:C74)</f>
        <v>14.41666667</v>
      </c>
      <c r="E63" s="30"/>
      <c r="F63" s="90"/>
      <c r="L63" s="61">
        <v>16.0</v>
      </c>
      <c r="M63" s="14">
        <v>15.00347222277778</v>
      </c>
      <c r="N63" s="89">
        <v>1.3953488372093024</v>
      </c>
      <c r="O63" s="62">
        <f t="shared" si="5"/>
        <v>20.93507752</v>
      </c>
      <c r="P63" s="73">
        <v>12.0</v>
      </c>
      <c r="Q63" s="62">
        <f t="shared" si="6"/>
        <v>-8.93507752</v>
      </c>
    </row>
    <row r="64" ht="14.25" customHeight="1">
      <c r="B64" s="40">
        <v>11.0</v>
      </c>
      <c r="C64" s="40">
        <v>22.0</v>
      </c>
      <c r="D64" s="30"/>
      <c r="E64" s="30">
        <f>AVERAGE(D63,D65)</f>
        <v>14.625</v>
      </c>
      <c r="F64" s="90">
        <f>C64/E64</f>
        <v>1.504273504</v>
      </c>
      <c r="L64" s="61">
        <v>17.0</v>
      </c>
      <c r="M64" s="14">
        <v>15.00347222277778</v>
      </c>
      <c r="N64" s="89">
        <v>1.5042735042735043</v>
      </c>
      <c r="O64" s="62">
        <f t="shared" si="5"/>
        <v>22.56932574</v>
      </c>
      <c r="P64" s="73">
        <v>14.0</v>
      </c>
      <c r="Q64" s="62">
        <f t="shared" si="6"/>
        <v>-8.569325737</v>
      </c>
    </row>
    <row r="65" ht="14.25" customHeight="1">
      <c r="B65" s="40"/>
      <c r="C65" s="61"/>
      <c r="D65" s="30">
        <f>AVERAGE(C54:C76)</f>
        <v>14.83333333</v>
      </c>
      <c r="E65" s="30"/>
      <c r="F65" s="90"/>
      <c r="L65" s="61">
        <v>18.0</v>
      </c>
      <c r="M65" s="14">
        <v>15.00347222277778</v>
      </c>
      <c r="N65" s="89">
        <v>1.6759776536312847</v>
      </c>
      <c r="O65" s="62">
        <f t="shared" si="5"/>
        <v>25.14548417</v>
      </c>
      <c r="P65" s="73">
        <v>15.0</v>
      </c>
      <c r="Q65" s="62">
        <f t="shared" si="6"/>
        <v>-10.14548417</v>
      </c>
    </row>
    <row r="66" ht="14.25" customHeight="1">
      <c r="B66" s="40">
        <v>12.0</v>
      </c>
      <c r="C66" s="40">
        <v>25.0</v>
      </c>
      <c r="D66" s="30"/>
      <c r="E66" s="30">
        <f>AVERAGE(D65,D67)</f>
        <v>14.91666667</v>
      </c>
      <c r="F66" s="90">
        <f>C66/E66</f>
        <v>1.675977654</v>
      </c>
      <c r="L66" s="61">
        <v>19.0</v>
      </c>
      <c r="M66" s="14">
        <v>15.00347222277778</v>
      </c>
      <c r="N66" s="92">
        <v>0.526027397260274</v>
      </c>
      <c r="O66" s="62">
        <f t="shared" si="5"/>
        <v>7.892237443</v>
      </c>
      <c r="P66" s="73">
        <v>18.0</v>
      </c>
      <c r="Q66" s="62">
        <f t="shared" si="6"/>
        <v>10.10776256</v>
      </c>
    </row>
    <row r="67" ht="14.25" customHeight="1">
      <c r="B67" s="40"/>
      <c r="C67" s="61"/>
      <c r="D67" s="30">
        <f>AVERAGE(C56:C78)</f>
        <v>15</v>
      </c>
      <c r="E67" s="30"/>
      <c r="F67" s="90"/>
      <c r="L67" s="73">
        <v>20.0</v>
      </c>
      <c r="M67" s="14">
        <v>15.00347222277778</v>
      </c>
      <c r="N67" s="93">
        <v>0.3870967741935484</v>
      </c>
      <c r="O67" s="62">
        <f t="shared" si="5"/>
        <v>5.807795699</v>
      </c>
      <c r="P67" s="73">
        <v>18.0</v>
      </c>
      <c r="Q67" s="62">
        <f t="shared" si="6"/>
        <v>12.1922043</v>
      </c>
    </row>
    <row r="68" ht="14.25" customHeight="1">
      <c r="B68" s="40">
        <v>13.0</v>
      </c>
      <c r="C68" s="40">
        <v>8.0</v>
      </c>
      <c r="D68" s="30"/>
      <c r="E68" s="30">
        <f>AVERAGE(D67,D69)</f>
        <v>15.20833333</v>
      </c>
      <c r="F68" s="90">
        <f>C68/E68</f>
        <v>0.5260273973</v>
      </c>
      <c r="L68" s="73">
        <v>21.0</v>
      </c>
      <c r="M68" s="14">
        <v>15.00347222277778</v>
      </c>
      <c r="N68" s="94">
        <v>0.6382978723404255</v>
      </c>
      <c r="O68" s="62">
        <f t="shared" si="5"/>
        <v>9.576684398</v>
      </c>
      <c r="P68" s="73">
        <v>21.0</v>
      </c>
      <c r="Q68" s="62">
        <f t="shared" si="6"/>
        <v>11.4233156</v>
      </c>
    </row>
    <row r="69" ht="14.25" customHeight="1">
      <c r="B69" s="73"/>
      <c r="C69" s="61"/>
      <c r="D69" s="30">
        <f>AVERAGE(C58:C80)</f>
        <v>15.41666667</v>
      </c>
      <c r="E69" s="30"/>
      <c r="F69" s="90"/>
      <c r="L69" s="73">
        <v>22.0</v>
      </c>
      <c r="M69" s="14">
        <v>15.00347222277778</v>
      </c>
      <c r="N69" s="94">
        <v>0.7578947368421053</v>
      </c>
      <c r="O69" s="62">
        <f t="shared" si="5"/>
        <v>11.37105263</v>
      </c>
      <c r="P69" s="73">
        <v>22.0</v>
      </c>
      <c r="Q69" s="62">
        <f t="shared" si="6"/>
        <v>10.62894737</v>
      </c>
    </row>
    <row r="70" ht="14.25" customHeight="1">
      <c r="B70" s="73">
        <v>14.0</v>
      </c>
      <c r="C70" s="73">
        <v>6.0</v>
      </c>
      <c r="D70" s="30"/>
      <c r="E70" s="30">
        <f>AVERAGE(D69,D71)</f>
        <v>15.5</v>
      </c>
      <c r="F70" s="90">
        <f>C70/E70</f>
        <v>0.3870967742</v>
      </c>
      <c r="L70" s="73">
        <v>23.0</v>
      </c>
      <c r="M70" s="14">
        <v>15.00347222277778</v>
      </c>
      <c r="N70" s="94">
        <v>0.8936170210864645</v>
      </c>
      <c r="O70" s="62">
        <f t="shared" si="5"/>
        <v>13.40735815</v>
      </c>
      <c r="P70" s="73">
        <v>23.0</v>
      </c>
      <c r="Q70" s="62">
        <f t="shared" si="6"/>
        <v>9.592641846</v>
      </c>
    </row>
    <row r="71" ht="14.25" customHeight="1">
      <c r="B71" s="73"/>
      <c r="C71" s="61"/>
      <c r="D71" s="30">
        <f>AVERAGE(C60:C81)</f>
        <v>15.58333333</v>
      </c>
      <c r="E71" s="30"/>
      <c r="F71" s="90"/>
      <c r="L71" s="73">
        <v>24.0</v>
      </c>
      <c r="M71" s="14">
        <v>15.00347222277778</v>
      </c>
      <c r="N71" s="94">
        <v>0.9574468083069262</v>
      </c>
      <c r="O71" s="62">
        <f t="shared" si="5"/>
        <v>14.36502659</v>
      </c>
      <c r="P71" s="73">
        <v>27.0</v>
      </c>
      <c r="Q71" s="62">
        <f t="shared" si="6"/>
        <v>12.63497341</v>
      </c>
    </row>
    <row r="72" ht="14.25" customHeight="1">
      <c r="B72" s="73">
        <v>15.0</v>
      </c>
      <c r="C72" s="73">
        <v>10.0</v>
      </c>
      <c r="D72" s="30"/>
      <c r="E72" s="30">
        <f>AVERAGE(D71,D73)</f>
        <v>15.66666667</v>
      </c>
      <c r="F72" s="90">
        <f>C72/E72</f>
        <v>0.6382978723</v>
      </c>
      <c r="L72" s="17" t="s">
        <v>27</v>
      </c>
      <c r="M72" s="3"/>
      <c r="N72" s="3"/>
      <c r="O72" s="3"/>
      <c r="P72" s="22"/>
      <c r="Q72" s="50">
        <f>SUM(Q48:Q71)</f>
        <v>0.4497397826</v>
      </c>
    </row>
    <row r="73" ht="14.25" customHeight="1">
      <c r="B73" s="73"/>
      <c r="C73" s="61"/>
      <c r="D73" s="30">
        <f>AVERAGE(C62:C82)</f>
        <v>15.75</v>
      </c>
      <c r="E73" s="30"/>
      <c r="F73" s="30"/>
      <c r="L73" s="17" t="s">
        <v>9</v>
      </c>
      <c r="M73" s="3"/>
      <c r="N73" s="3"/>
      <c r="O73" s="3"/>
      <c r="P73" s="22"/>
    </row>
    <row r="74" ht="14.25" customHeight="1">
      <c r="B74" s="73">
        <v>16.0</v>
      </c>
      <c r="C74" s="73">
        <v>12.0</v>
      </c>
      <c r="D74" s="30"/>
      <c r="E74" s="30">
        <f>AVERAGE(D73,D75)</f>
        <v>15.83333333</v>
      </c>
      <c r="F74" s="90">
        <f>C74/E74</f>
        <v>0.7578947368</v>
      </c>
    </row>
    <row r="75" ht="14.25" customHeight="1">
      <c r="B75" s="61"/>
      <c r="C75" s="61"/>
      <c r="D75" s="30">
        <f>AVERAGE(C64:C83)</f>
        <v>15.91666667</v>
      </c>
      <c r="E75" s="30"/>
      <c r="F75" s="30"/>
    </row>
    <row r="76" ht="14.25" customHeight="1">
      <c r="B76" s="73">
        <v>17.0</v>
      </c>
      <c r="C76" s="73">
        <v>14.0</v>
      </c>
      <c r="D76" s="30"/>
      <c r="E76" s="42">
        <v>15.66666667</v>
      </c>
      <c r="F76" s="90">
        <f>C76/E76</f>
        <v>0.8936170211</v>
      </c>
    </row>
    <row r="77" ht="14.25" customHeight="1">
      <c r="B77" s="61"/>
      <c r="C77" s="61"/>
      <c r="D77" s="30">
        <f>AVERAGE(C66:C84)</f>
        <v>16</v>
      </c>
      <c r="E77" s="30"/>
      <c r="F77" s="30"/>
    </row>
    <row r="78" ht="14.25" customHeight="1">
      <c r="B78" s="73">
        <v>18.0</v>
      </c>
      <c r="C78" s="73">
        <v>15.0</v>
      </c>
      <c r="D78" s="30"/>
      <c r="E78" s="42">
        <v>15.66666667</v>
      </c>
      <c r="F78" s="90">
        <f>C78/E78</f>
        <v>0.9574468083</v>
      </c>
    </row>
    <row r="79" ht="14.25" customHeight="1">
      <c r="B79" s="61"/>
      <c r="C79" s="61"/>
      <c r="D79" s="30">
        <f>AVERAGE(C68:C85)</f>
        <v>16.16666667</v>
      </c>
      <c r="E79" s="30"/>
      <c r="F79" s="30"/>
    </row>
    <row r="80" ht="14.25" customHeight="1">
      <c r="B80" s="73">
        <v>19.0</v>
      </c>
      <c r="C80" s="73">
        <v>18.0</v>
      </c>
      <c r="D80" s="30"/>
      <c r="E80" s="30"/>
      <c r="F80" s="30"/>
    </row>
    <row r="81" ht="14.25" customHeight="1">
      <c r="B81" s="73">
        <v>20.0</v>
      </c>
      <c r="C81" s="73">
        <v>18.0</v>
      </c>
      <c r="D81" s="30"/>
      <c r="E81" s="30"/>
      <c r="F81" s="30"/>
    </row>
    <row r="82" ht="14.25" customHeight="1">
      <c r="B82" s="73">
        <v>21.0</v>
      </c>
      <c r="C82" s="73">
        <v>21.0</v>
      </c>
      <c r="D82" s="30"/>
      <c r="E82" s="30"/>
      <c r="F82" s="30"/>
    </row>
    <row r="83" ht="14.25" customHeight="1">
      <c r="B83" s="73">
        <v>22.0</v>
      </c>
      <c r="C83" s="73">
        <v>22.0</v>
      </c>
      <c r="D83" s="30"/>
      <c r="E83" s="30"/>
      <c r="F83" s="30"/>
    </row>
    <row r="84" ht="14.25" customHeight="1">
      <c r="B84" s="73">
        <v>23.0</v>
      </c>
      <c r="C84" s="73">
        <v>23.0</v>
      </c>
      <c r="D84" s="30"/>
      <c r="E84" s="30"/>
      <c r="F84" s="30"/>
    </row>
    <row r="85" ht="14.25" customHeight="1">
      <c r="B85" s="73">
        <v>24.0</v>
      </c>
      <c r="C85" s="73">
        <v>27.0</v>
      </c>
      <c r="D85" s="30"/>
      <c r="E85" s="30"/>
      <c r="F85" s="30"/>
    </row>
    <row r="86" ht="14.25" customHeight="1">
      <c r="B86" s="17" t="s">
        <v>96</v>
      </c>
      <c r="C86" s="22"/>
      <c r="D86" s="14"/>
      <c r="E86" s="14">
        <f>AVERAGE(E56:E78)</f>
        <v>15.00347222</v>
      </c>
      <c r="F86" s="30"/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L72:P72"/>
    <mergeCell ref="L73:P73"/>
    <mergeCell ref="B86:C86"/>
    <mergeCell ref="A1:E1"/>
    <mergeCell ref="M1:R1"/>
    <mergeCell ref="H2:I2"/>
    <mergeCell ref="M27:Q27"/>
    <mergeCell ref="M28:Q28"/>
    <mergeCell ref="B40:C40"/>
    <mergeCell ref="H48:I48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2.0"/>
    <col customWidth="1" min="8" max="12" width="8.71"/>
    <col customWidth="1" min="13" max="13" width="9.43"/>
    <col customWidth="1" min="14" max="26" width="8.71"/>
  </cols>
  <sheetData>
    <row r="1" ht="14.25" customHeight="1">
      <c r="A1" s="10" t="s">
        <v>76</v>
      </c>
      <c r="B1" s="77"/>
      <c r="C1" s="77"/>
      <c r="D1" s="77"/>
      <c r="E1" s="78"/>
      <c r="L1" s="13"/>
      <c r="M1" s="10" t="s">
        <v>77</v>
      </c>
      <c r="N1" s="77"/>
      <c r="O1" s="77"/>
      <c r="P1" s="77"/>
      <c r="Q1" s="77"/>
      <c r="R1" s="78"/>
    </row>
    <row r="2" ht="14.25" customHeight="1">
      <c r="B2" s="8" t="s">
        <v>1</v>
      </c>
      <c r="C2" s="8" t="s">
        <v>2</v>
      </c>
      <c r="D2" s="8" t="s">
        <v>78</v>
      </c>
      <c r="E2" s="8" t="s">
        <v>79</v>
      </c>
      <c r="F2" s="8" t="s">
        <v>80</v>
      </c>
      <c r="H2" s="10" t="s">
        <v>81</v>
      </c>
      <c r="I2" s="78"/>
      <c r="L2" s="13"/>
      <c r="M2" s="6" t="s">
        <v>1</v>
      </c>
      <c r="N2" s="6" t="s">
        <v>82</v>
      </c>
      <c r="O2" s="6" t="s">
        <v>80</v>
      </c>
      <c r="P2" s="6" t="s">
        <v>83</v>
      </c>
      <c r="Q2" s="6" t="s">
        <v>2</v>
      </c>
      <c r="R2" s="6" t="s">
        <v>4</v>
      </c>
    </row>
    <row r="3" ht="14.25" customHeight="1">
      <c r="B3" s="42" t="s">
        <v>44</v>
      </c>
      <c r="C3" s="40">
        <v>2.0</v>
      </c>
      <c r="D3" s="14"/>
      <c r="E3" s="14"/>
      <c r="F3" s="79"/>
      <c r="H3" s="8" t="s">
        <v>84</v>
      </c>
      <c r="I3" s="79">
        <v>0.7142857142857143</v>
      </c>
      <c r="L3" s="13"/>
      <c r="M3" s="8">
        <v>1.0</v>
      </c>
      <c r="N3" s="40">
        <v>7.0</v>
      </c>
      <c r="O3" s="80">
        <v>0.7142857142857143</v>
      </c>
      <c r="P3" s="41">
        <f t="shared" ref="P3:P7" si="1">N3*O3</f>
        <v>5</v>
      </c>
      <c r="Q3" s="40">
        <v>2.0</v>
      </c>
      <c r="R3" s="41">
        <f t="shared" ref="R3:R19" si="2">Q3-P3</f>
        <v>-3</v>
      </c>
    </row>
    <row r="4" ht="14.25" customHeight="1">
      <c r="B4" s="42" t="s">
        <v>46</v>
      </c>
      <c r="C4" s="40">
        <v>3.0</v>
      </c>
      <c r="D4" s="14"/>
      <c r="E4" s="14"/>
      <c r="F4" s="79"/>
      <c r="H4" s="8" t="s">
        <v>85</v>
      </c>
      <c r="I4" s="79">
        <v>1.0</v>
      </c>
      <c r="L4" s="13"/>
      <c r="M4" s="8">
        <v>2.0</v>
      </c>
      <c r="N4" s="40">
        <v>7.0</v>
      </c>
      <c r="O4" s="80">
        <v>1.0</v>
      </c>
      <c r="P4" s="41">
        <f t="shared" si="1"/>
        <v>7</v>
      </c>
      <c r="Q4" s="40">
        <v>3.0</v>
      </c>
      <c r="R4" s="41">
        <f t="shared" si="2"/>
        <v>-4</v>
      </c>
    </row>
    <row r="5" ht="14.25" customHeight="1">
      <c r="B5" s="42" t="s">
        <v>48</v>
      </c>
      <c r="C5" s="40">
        <v>3.0</v>
      </c>
      <c r="D5" s="14"/>
      <c r="E5" s="14"/>
      <c r="F5" s="79"/>
      <c r="H5" s="8" t="s">
        <v>86</v>
      </c>
      <c r="I5" s="79">
        <v>1.5714285714285714</v>
      </c>
      <c r="L5" s="13"/>
      <c r="M5" s="8">
        <v>3.0</v>
      </c>
      <c r="N5" s="40">
        <v>7.0</v>
      </c>
      <c r="O5" s="80">
        <v>1.5714285714285714</v>
      </c>
      <c r="P5" s="41">
        <f t="shared" si="1"/>
        <v>11</v>
      </c>
      <c r="Q5" s="40">
        <v>3.0</v>
      </c>
      <c r="R5" s="41">
        <f t="shared" si="2"/>
        <v>-8</v>
      </c>
    </row>
    <row r="6" ht="14.25" customHeight="1">
      <c r="B6" s="42" t="s">
        <v>50</v>
      </c>
      <c r="C6" s="40">
        <v>4.0</v>
      </c>
      <c r="D6" s="14"/>
      <c r="E6" s="14"/>
      <c r="F6" s="79"/>
      <c r="H6" s="8" t="s">
        <v>87</v>
      </c>
      <c r="I6" s="79">
        <v>1.5714285714285714</v>
      </c>
      <c r="L6" s="13"/>
      <c r="M6" s="8">
        <v>4.0</v>
      </c>
      <c r="N6" s="40">
        <v>7.0</v>
      </c>
      <c r="O6" s="80">
        <v>1.5714285714285714</v>
      </c>
      <c r="P6" s="41">
        <f t="shared" si="1"/>
        <v>11</v>
      </c>
      <c r="Q6" s="40">
        <v>4.0</v>
      </c>
      <c r="R6" s="41">
        <f t="shared" si="2"/>
        <v>-7</v>
      </c>
    </row>
    <row r="7" ht="14.25" customHeight="1">
      <c r="B7" s="42" t="s">
        <v>51</v>
      </c>
      <c r="C7" s="40">
        <v>4.0</v>
      </c>
      <c r="D7" s="14"/>
      <c r="E7" s="14"/>
      <c r="F7" s="79"/>
      <c r="H7" s="8" t="s">
        <v>88</v>
      </c>
      <c r="I7" s="79">
        <v>1.4285714285714286</v>
      </c>
      <c r="L7" s="13"/>
      <c r="M7" s="8">
        <v>5.0</v>
      </c>
      <c r="N7" s="40">
        <v>7.0</v>
      </c>
      <c r="O7" s="80">
        <v>1.4285714285714286</v>
      </c>
      <c r="P7" s="41">
        <f t="shared" si="1"/>
        <v>10</v>
      </c>
      <c r="Q7" s="40">
        <v>4.0</v>
      </c>
      <c r="R7" s="41">
        <f t="shared" si="2"/>
        <v>-6</v>
      </c>
    </row>
    <row r="8" ht="14.25" customHeight="1">
      <c r="B8" s="42" t="s">
        <v>53</v>
      </c>
      <c r="C8" s="40">
        <v>6.0</v>
      </c>
      <c r="D8" s="14"/>
      <c r="E8" s="14"/>
      <c r="F8" s="79"/>
      <c r="H8" s="8" t="s">
        <v>89</v>
      </c>
      <c r="I8" s="79">
        <v>2.0</v>
      </c>
      <c r="L8" s="13"/>
      <c r="M8" s="8">
        <v>6.0</v>
      </c>
      <c r="N8" s="40">
        <v>7.0</v>
      </c>
      <c r="O8" s="80">
        <v>2.0</v>
      </c>
      <c r="P8" s="54">
        <v>0.0</v>
      </c>
      <c r="Q8" s="40">
        <v>6.0</v>
      </c>
      <c r="R8" s="41">
        <f t="shared" si="2"/>
        <v>6</v>
      </c>
    </row>
    <row r="9" ht="14.25" customHeight="1">
      <c r="D9" s="14">
        <f>AVERAGE(C3:C20)</f>
        <v>6.666666667</v>
      </c>
      <c r="E9" s="14"/>
      <c r="F9" s="79"/>
      <c r="H9" s="8" t="s">
        <v>90</v>
      </c>
      <c r="I9" s="79">
        <v>0.42857142857142855</v>
      </c>
      <c r="L9" s="13"/>
      <c r="M9" s="8">
        <v>7.0</v>
      </c>
      <c r="N9" s="40">
        <v>7.0</v>
      </c>
      <c r="O9" s="80">
        <v>0.42857142857142855</v>
      </c>
      <c r="P9" s="41">
        <f t="shared" ref="P9:P26" si="3">N9*O9</f>
        <v>3</v>
      </c>
      <c r="Q9" s="40">
        <v>5.0</v>
      </c>
      <c r="R9" s="41">
        <f t="shared" si="2"/>
        <v>2</v>
      </c>
    </row>
    <row r="10" ht="14.25" customHeight="1">
      <c r="B10" s="42" t="s">
        <v>54</v>
      </c>
      <c r="C10" s="40">
        <v>5.0</v>
      </c>
      <c r="D10" s="14"/>
      <c r="E10" s="81">
        <v>7.0</v>
      </c>
      <c r="F10" s="79">
        <f>AVERAGE(C10/E10)</f>
        <v>0.7142857143</v>
      </c>
      <c r="H10" s="8" t="s">
        <v>91</v>
      </c>
      <c r="I10" s="79">
        <v>0.2857142857142857</v>
      </c>
      <c r="L10" s="13"/>
      <c r="M10" s="8">
        <v>8.0</v>
      </c>
      <c r="N10" s="40">
        <v>7.0</v>
      </c>
      <c r="O10" s="80">
        <v>0.2857142857142857</v>
      </c>
      <c r="P10" s="41">
        <f t="shared" si="3"/>
        <v>2</v>
      </c>
      <c r="Q10" s="40">
        <v>7.0</v>
      </c>
      <c r="R10" s="41">
        <f t="shared" si="2"/>
        <v>5</v>
      </c>
    </row>
    <row r="11" ht="14.25" customHeight="1">
      <c r="B11" s="8"/>
      <c r="C11" s="8"/>
      <c r="D11" s="14">
        <f>AVERAGE(C4:C22)</f>
        <v>6.75</v>
      </c>
      <c r="E11" s="14"/>
      <c r="F11" s="79"/>
      <c r="H11" s="8" t="s">
        <v>92</v>
      </c>
      <c r="I11" s="79">
        <v>0.5714285714285714</v>
      </c>
      <c r="L11" s="13"/>
      <c r="M11" s="8">
        <v>9.0</v>
      </c>
      <c r="N11" s="40">
        <v>7.0</v>
      </c>
      <c r="O11" s="80">
        <v>0.5714285714285714</v>
      </c>
      <c r="P11" s="41">
        <f t="shared" si="3"/>
        <v>4</v>
      </c>
      <c r="Q11" s="40">
        <v>11.0</v>
      </c>
      <c r="R11" s="41">
        <f t="shared" si="2"/>
        <v>7</v>
      </c>
    </row>
    <row r="12" ht="14.25" customHeight="1">
      <c r="B12" s="42" t="s">
        <v>55</v>
      </c>
      <c r="C12" s="40">
        <v>7.0</v>
      </c>
      <c r="E12" s="81">
        <v>7.0</v>
      </c>
      <c r="F12" s="79">
        <f>AVERAGE(C12/E12)</f>
        <v>1</v>
      </c>
      <c r="H12" s="8" t="s">
        <v>93</v>
      </c>
      <c r="I12" s="79">
        <v>0.7142857142857143</v>
      </c>
      <c r="L12" s="13"/>
      <c r="M12" s="8">
        <v>10.0</v>
      </c>
      <c r="N12" s="40">
        <v>7.0</v>
      </c>
      <c r="O12" s="80">
        <v>0.7142857142857143</v>
      </c>
      <c r="P12" s="41">
        <f t="shared" si="3"/>
        <v>5</v>
      </c>
      <c r="Q12" s="40">
        <v>11.0</v>
      </c>
      <c r="R12" s="41">
        <f t="shared" si="2"/>
        <v>6</v>
      </c>
    </row>
    <row r="13" ht="14.25" customHeight="1">
      <c r="B13" s="8"/>
      <c r="C13" s="8"/>
      <c r="D13" s="14">
        <f>AVERAGE(C5:C24)</f>
        <v>6.666666667</v>
      </c>
      <c r="E13" s="14"/>
      <c r="F13" s="79"/>
      <c r="H13" s="8" t="s">
        <v>94</v>
      </c>
      <c r="I13" s="79">
        <v>0.7959183673469388</v>
      </c>
      <c r="L13" s="13"/>
      <c r="M13" s="8">
        <v>11.0</v>
      </c>
      <c r="N13" s="40">
        <v>7.0</v>
      </c>
      <c r="O13" s="80">
        <v>0.7959183673469388</v>
      </c>
      <c r="P13" s="41">
        <f t="shared" si="3"/>
        <v>5.571428571</v>
      </c>
      <c r="Q13" s="40">
        <v>10.0</v>
      </c>
      <c r="R13" s="41">
        <f t="shared" si="2"/>
        <v>4.428571429</v>
      </c>
    </row>
    <row r="14" ht="14.25" customHeight="1">
      <c r="B14" s="42" t="s">
        <v>56</v>
      </c>
      <c r="C14" s="40">
        <v>11.0</v>
      </c>
      <c r="D14" s="14"/>
      <c r="E14" s="81">
        <v>7.0</v>
      </c>
      <c r="F14" s="79">
        <f>AVERAGE(C14/E14)</f>
        <v>1.571428571</v>
      </c>
      <c r="H14" s="8" t="s">
        <v>95</v>
      </c>
      <c r="I14" s="79">
        <v>0.75</v>
      </c>
      <c r="J14" s="13"/>
      <c r="K14" s="82"/>
      <c r="L14" s="13"/>
      <c r="M14" s="8">
        <v>12.0</v>
      </c>
      <c r="N14" s="40">
        <v>7.0</v>
      </c>
      <c r="O14" s="80">
        <v>0.75</v>
      </c>
      <c r="P14" s="41">
        <f t="shared" si="3"/>
        <v>5.25</v>
      </c>
      <c r="Q14" s="40">
        <v>14.0</v>
      </c>
      <c r="R14" s="41">
        <f t="shared" si="2"/>
        <v>8.75</v>
      </c>
    </row>
    <row r="15" ht="14.25" customHeight="1">
      <c r="B15" s="8"/>
      <c r="C15" s="8"/>
      <c r="D15" s="14">
        <f>AVERAGE(C6:C26)</f>
        <v>6.75</v>
      </c>
      <c r="E15" s="14"/>
      <c r="F15" s="79"/>
      <c r="J15" s="83"/>
      <c r="K15" s="84"/>
      <c r="L15" s="13"/>
      <c r="M15" s="8">
        <v>13.0</v>
      </c>
      <c r="N15" s="40">
        <v>7.0</v>
      </c>
      <c r="O15" s="80">
        <v>0.7142857142857143</v>
      </c>
      <c r="P15" s="41">
        <f t="shared" si="3"/>
        <v>5</v>
      </c>
      <c r="Q15" s="40">
        <v>3.0</v>
      </c>
      <c r="R15" s="41">
        <f t="shared" si="2"/>
        <v>-2</v>
      </c>
    </row>
    <row r="16" ht="14.25" customHeight="1">
      <c r="B16" s="42" t="s">
        <v>58</v>
      </c>
      <c r="C16" s="40">
        <v>11.0</v>
      </c>
      <c r="D16" s="14"/>
      <c r="E16" s="81">
        <v>7.0</v>
      </c>
      <c r="F16" s="79">
        <f>AVERAGE(C16/E16)</f>
        <v>1.571428571</v>
      </c>
      <c r="J16" s="83"/>
      <c r="L16" s="13"/>
      <c r="M16" s="8">
        <v>14.0</v>
      </c>
      <c r="N16" s="40">
        <v>7.0</v>
      </c>
      <c r="O16" s="80">
        <v>1.0</v>
      </c>
      <c r="P16" s="41">
        <f t="shared" si="3"/>
        <v>7</v>
      </c>
      <c r="Q16" s="40">
        <v>2.0</v>
      </c>
      <c r="R16" s="41">
        <f t="shared" si="2"/>
        <v>-5</v>
      </c>
    </row>
    <row r="17" ht="14.25" customHeight="1">
      <c r="B17" s="8"/>
      <c r="C17" s="8"/>
      <c r="D17" s="14">
        <f>AVERAGE(C7:C28)</f>
        <v>6.833333333</v>
      </c>
      <c r="E17" s="14"/>
      <c r="F17" s="79"/>
      <c r="J17" s="83"/>
      <c r="K17" s="84"/>
      <c r="L17" s="13"/>
      <c r="M17" s="8">
        <v>15.0</v>
      </c>
      <c r="N17" s="40">
        <v>7.0</v>
      </c>
      <c r="O17" s="80">
        <v>1.5714285714285714</v>
      </c>
      <c r="P17" s="41">
        <f t="shared" si="3"/>
        <v>11</v>
      </c>
      <c r="Q17" s="40">
        <v>4.0</v>
      </c>
      <c r="R17" s="41">
        <f t="shared" si="2"/>
        <v>-7</v>
      </c>
    </row>
    <row r="18" ht="14.25" customHeight="1">
      <c r="B18" s="42" t="s">
        <v>59</v>
      </c>
      <c r="C18" s="40">
        <v>10.0</v>
      </c>
      <c r="D18" s="14"/>
      <c r="E18" s="81">
        <v>7.0</v>
      </c>
      <c r="F18" s="79">
        <f>AVERAGE(C18/E18)</f>
        <v>1.428571429</v>
      </c>
      <c r="J18" s="83"/>
      <c r="K18" s="84"/>
      <c r="L18" s="13"/>
      <c r="M18" s="8">
        <v>16.0</v>
      </c>
      <c r="N18" s="40">
        <v>7.0</v>
      </c>
      <c r="O18" s="80">
        <v>1.5714285714285714</v>
      </c>
      <c r="P18" s="41">
        <f t="shared" si="3"/>
        <v>11</v>
      </c>
      <c r="Q18" s="40">
        <v>5.0</v>
      </c>
      <c r="R18" s="41">
        <f t="shared" si="2"/>
        <v>-6</v>
      </c>
    </row>
    <row r="19" ht="14.25" customHeight="1">
      <c r="B19" s="8"/>
      <c r="C19" s="8"/>
      <c r="D19" s="14">
        <f>AVERAGE(C8:C30)</f>
        <v>7</v>
      </c>
      <c r="E19" s="14"/>
      <c r="F19" s="79"/>
      <c r="J19" s="83"/>
      <c r="L19" s="13"/>
      <c r="M19" s="8">
        <v>17.0</v>
      </c>
      <c r="N19" s="40">
        <v>7.0</v>
      </c>
      <c r="O19" s="80">
        <v>1.4285714285714286</v>
      </c>
      <c r="P19" s="41">
        <f t="shared" si="3"/>
        <v>10</v>
      </c>
      <c r="Q19" s="40">
        <v>6.0</v>
      </c>
      <c r="R19" s="41">
        <f t="shared" si="2"/>
        <v>-4</v>
      </c>
    </row>
    <row r="20" ht="14.25" customHeight="1">
      <c r="B20" s="42" t="s">
        <v>60</v>
      </c>
      <c r="C20" s="40">
        <v>14.0</v>
      </c>
      <c r="D20" s="14"/>
      <c r="E20" s="81">
        <v>7.0</v>
      </c>
      <c r="F20" s="79">
        <f>AVERAGE(C20/E20)</f>
        <v>2</v>
      </c>
      <c r="J20" s="83"/>
      <c r="K20" s="84"/>
      <c r="L20" s="13"/>
      <c r="M20" s="8">
        <v>18.0</v>
      </c>
      <c r="N20" s="40">
        <v>7.0</v>
      </c>
      <c r="O20" s="80">
        <v>2.0</v>
      </c>
      <c r="P20" s="41">
        <f t="shared" si="3"/>
        <v>14</v>
      </c>
      <c r="Q20" s="23">
        <v>6.0</v>
      </c>
      <c r="R20" s="41">
        <f t="shared" ref="R20:R26" si="4">Q21-P20</f>
        <v>-7</v>
      </c>
    </row>
    <row r="21" ht="14.25" customHeight="1">
      <c r="B21" s="8"/>
      <c r="C21" s="8"/>
      <c r="D21" s="14">
        <f>AVERAGE(C10:C32)</f>
        <v>7</v>
      </c>
      <c r="E21" s="14"/>
      <c r="F21" s="79"/>
      <c r="J21" s="83"/>
      <c r="K21" s="84"/>
      <c r="L21" s="13"/>
      <c r="M21" s="8">
        <v>19.0</v>
      </c>
      <c r="N21" s="40">
        <v>7.0</v>
      </c>
      <c r="O21" s="80">
        <v>0.42857142857142855</v>
      </c>
      <c r="P21" s="41">
        <f t="shared" si="3"/>
        <v>3</v>
      </c>
      <c r="Q21" s="40">
        <v>7.0</v>
      </c>
      <c r="R21" s="41">
        <f t="shared" si="4"/>
        <v>5</v>
      </c>
    </row>
    <row r="22" ht="14.25" customHeight="1">
      <c r="B22" s="42" t="s">
        <v>62</v>
      </c>
      <c r="C22" s="40">
        <v>3.0</v>
      </c>
      <c r="D22" s="14"/>
      <c r="E22" s="81">
        <v>7.0</v>
      </c>
      <c r="F22" s="79">
        <f>AVERAGE(C22/E22)</f>
        <v>0.4285714286</v>
      </c>
      <c r="J22" s="83"/>
      <c r="L22" s="13"/>
      <c r="M22" s="8">
        <v>20.0</v>
      </c>
      <c r="N22" s="40">
        <v>7.0</v>
      </c>
      <c r="O22" s="80">
        <v>0.2857142857142857</v>
      </c>
      <c r="P22" s="41">
        <f t="shared" si="3"/>
        <v>2</v>
      </c>
      <c r="Q22" s="40">
        <v>8.0</v>
      </c>
      <c r="R22" s="41">
        <f t="shared" si="4"/>
        <v>8</v>
      </c>
    </row>
    <row r="23" ht="14.25" customHeight="1">
      <c r="B23" s="8"/>
      <c r="C23" s="8"/>
      <c r="D23" s="14">
        <f>AVERAGE(C12:C34)</f>
        <v>7.166666667</v>
      </c>
      <c r="E23" s="14"/>
      <c r="F23" s="79"/>
      <c r="J23" s="83"/>
      <c r="L23" s="13"/>
      <c r="M23" s="8">
        <v>21.0</v>
      </c>
      <c r="N23" s="40">
        <v>7.0</v>
      </c>
      <c r="O23" s="80">
        <v>0.5714285714285714</v>
      </c>
      <c r="P23" s="41">
        <f t="shared" si="3"/>
        <v>4</v>
      </c>
      <c r="Q23" s="40">
        <v>10.0</v>
      </c>
      <c r="R23" s="41">
        <f t="shared" si="4"/>
        <v>7</v>
      </c>
    </row>
    <row r="24" ht="14.25" customHeight="1">
      <c r="B24" s="42" t="s">
        <v>63</v>
      </c>
      <c r="C24" s="40">
        <v>2.0</v>
      </c>
      <c r="D24" s="14"/>
      <c r="E24" s="81">
        <v>7.0</v>
      </c>
      <c r="F24" s="79">
        <f>AVERAGE(C24/E24)</f>
        <v>0.2857142857</v>
      </c>
      <c r="J24" s="83"/>
      <c r="K24" s="84"/>
      <c r="L24" s="13"/>
      <c r="M24" s="8">
        <v>22.0</v>
      </c>
      <c r="N24" s="40">
        <v>7.0</v>
      </c>
      <c r="O24" s="80">
        <v>0.7142857142857143</v>
      </c>
      <c r="P24" s="41">
        <f t="shared" si="3"/>
        <v>5</v>
      </c>
      <c r="Q24" s="40">
        <v>11.0</v>
      </c>
      <c r="R24" s="41">
        <f t="shared" si="4"/>
        <v>8</v>
      </c>
    </row>
    <row r="25" ht="14.25" customHeight="1">
      <c r="B25" s="8"/>
      <c r="C25" s="8"/>
      <c r="D25" s="14">
        <f>AVERAGE(C14:C35)</f>
        <v>7.25</v>
      </c>
      <c r="E25" s="14"/>
      <c r="F25" s="79"/>
      <c r="J25" s="83"/>
      <c r="L25" s="13"/>
      <c r="M25" s="8">
        <v>23.0</v>
      </c>
      <c r="N25" s="40">
        <v>7.0</v>
      </c>
      <c r="O25" s="80">
        <v>0.7959183673469388</v>
      </c>
      <c r="P25" s="41">
        <f t="shared" si="3"/>
        <v>5.571428571</v>
      </c>
      <c r="Q25" s="40">
        <v>13.0</v>
      </c>
      <c r="R25" s="41">
        <f t="shared" si="4"/>
        <v>10.42857143</v>
      </c>
    </row>
    <row r="26" ht="14.25" customHeight="1">
      <c r="B26" s="42" t="s">
        <v>48</v>
      </c>
      <c r="C26" s="40">
        <v>4.0</v>
      </c>
      <c r="E26" s="81">
        <v>7.0</v>
      </c>
      <c r="F26" s="79">
        <f>AVERAGE(C26/E26)</f>
        <v>0.5714285714</v>
      </c>
      <c r="J26" s="83"/>
      <c r="L26" s="13"/>
      <c r="M26" s="8">
        <v>24.0</v>
      </c>
      <c r="N26" s="40">
        <v>7.0</v>
      </c>
      <c r="O26" s="80">
        <v>0.75</v>
      </c>
      <c r="P26" s="41">
        <f t="shared" si="3"/>
        <v>5.25</v>
      </c>
      <c r="Q26" s="40">
        <v>16.0</v>
      </c>
      <c r="R26" s="41">
        <f t="shared" si="4"/>
        <v>-5.25</v>
      </c>
    </row>
    <row r="27" ht="14.25" customHeight="1">
      <c r="B27" s="8"/>
      <c r="C27" s="8"/>
      <c r="D27" s="14">
        <f>AVERAGE(C15:C36)</f>
        <v>7.166666667</v>
      </c>
      <c r="E27" s="14"/>
      <c r="F27" s="79"/>
      <c r="J27" s="83"/>
      <c r="M27" s="17" t="s">
        <v>27</v>
      </c>
      <c r="N27" s="3"/>
      <c r="O27" s="3"/>
      <c r="P27" s="3"/>
      <c r="Q27" s="22"/>
      <c r="R27" s="41">
        <f>SUM(R2:R26)</f>
        <v>13.35714286</v>
      </c>
    </row>
    <row r="28" ht="14.25" customHeight="1">
      <c r="B28" s="42" t="s">
        <v>65</v>
      </c>
      <c r="C28" s="40">
        <v>5.0</v>
      </c>
      <c r="E28" s="81">
        <v>7.0</v>
      </c>
      <c r="F28" s="79">
        <f>AVERAGE(C28/E28)</f>
        <v>0.7142857143</v>
      </c>
      <c r="J28" s="83"/>
      <c r="M28" s="17" t="s">
        <v>9</v>
      </c>
      <c r="N28" s="3"/>
      <c r="O28" s="3"/>
      <c r="P28" s="3"/>
      <c r="Q28" s="22"/>
      <c r="R28" s="25"/>
    </row>
    <row r="29" ht="14.25" customHeight="1">
      <c r="B29" s="8"/>
      <c r="C29" s="8"/>
      <c r="D29" s="14">
        <f>AVERAGE(C16:C37)</f>
        <v>7.461538462</v>
      </c>
      <c r="E29" s="14"/>
      <c r="F29" s="79"/>
      <c r="G29" s="83"/>
    </row>
    <row r="30" ht="14.25" customHeight="1">
      <c r="B30" s="42" t="s">
        <v>66</v>
      </c>
      <c r="C30" s="40">
        <v>6.0</v>
      </c>
      <c r="E30" s="14">
        <f>AVERAGE(D29:D31)</f>
        <v>7.538461538</v>
      </c>
      <c r="F30" s="79">
        <f>AVERAGE(C30/E30)</f>
        <v>0.7959183673</v>
      </c>
      <c r="G30" s="83"/>
    </row>
    <row r="31" ht="14.25" customHeight="1">
      <c r="B31" s="8"/>
      <c r="C31" s="8"/>
      <c r="D31" s="14">
        <f>AVERAGE(C17:C38)</f>
        <v>7.615384615</v>
      </c>
      <c r="E31" s="14"/>
      <c r="F31" s="79"/>
    </row>
    <row r="32" ht="14.25" customHeight="1">
      <c r="B32" s="42" t="s">
        <v>67</v>
      </c>
      <c r="C32" s="40">
        <v>6.0</v>
      </c>
      <c r="E32" s="81">
        <v>8.0</v>
      </c>
      <c r="F32" s="79">
        <f>AVERAGE(C32/E32)</f>
        <v>0.75</v>
      </c>
    </row>
    <row r="33" ht="14.25" customHeight="1">
      <c r="D33" s="14">
        <f>AVERAGE(C18:C39)</f>
        <v>8.214285714</v>
      </c>
      <c r="E33" s="14"/>
      <c r="F33" s="79"/>
    </row>
    <row r="34" ht="14.25" customHeight="1">
      <c r="B34" s="42" t="s">
        <v>68</v>
      </c>
      <c r="C34" s="40">
        <v>7.0</v>
      </c>
      <c r="E34" s="14"/>
      <c r="F34" s="79"/>
    </row>
    <row r="35" ht="14.25" customHeight="1">
      <c r="B35" s="42" t="s">
        <v>69</v>
      </c>
      <c r="C35" s="40">
        <v>8.0</v>
      </c>
      <c r="D35" s="14"/>
      <c r="E35" s="14"/>
      <c r="F35" s="79"/>
    </row>
    <row r="36" ht="14.25" customHeight="1">
      <c r="B36" s="42" t="s">
        <v>70</v>
      </c>
      <c r="C36" s="40">
        <v>10.0</v>
      </c>
      <c r="D36" s="14"/>
      <c r="E36" s="14"/>
      <c r="F36" s="79"/>
    </row>
    <row r="37" ht="14.25" customHeight="1">
      <c r="B37" s="42" t="s">
        <v>72</v>
      </c>
      <c r="C37" s="40">
        <v>11.0</v>
      </c>
      <c r="D37" s="14"/>
      <c r="E37" s="14"/>
      <c r="F37" s="79"/>
      <c r="H37" s="82"/>
    </row>
    <row r="38" ht="14.25" customHeight="1">
      <c r="B38" s="42" t="s">
        <v>73</v>
      </c>
      <c r="C38" s="73">
        <v>13.0</v>
      </c>
      <c r="D38" s="14"/>
      <c r="E38" s="14"/>
      <c r="F38" s="79"/>
    </row>
    <row r="39" ht="14.25" customHeight="1">
      <c r="B39" s="42" t="s">
        <v>74</v>
      </c>
      <c r="C39" s="73">
        <v>16.0</v>
      </c>
      <c r="D39" s="14"/>
      <c r="E39" s="14"/>
      <c r="F39" s="79"/>
      <c r="H39" s="13"/>
      <c r="I39" s="82"/>
    </row>
    <row r="40" ht="14.25" customHeight="1">
      <c r="B40" s="17" t="s">
        <v>96</v>
      </c>
      <c r="C40" s="22"/>
      <c r="D40" s="14"/>
      <c r="E40" s="14">
        <f>AVERAGE(E10:E32)</f>
        <v>7.128205128</v>
      </c>
      <c r="F40" s="85"/>
    </row>
    <row r="41" ht="14.25" customHeight="1">
      <c r="F41" s="86"/>
    </row>
    <row r="42" ht="14.25" customHeight="1">
      <c r="F42" s="86"/>
      <c r="H42" s="13"/>
      <c r="I42" s="82"/>
    </row>
    <row r="43" ht="14.25" customHeight="1">
      <c r="A43" s="87"/>
      <c r="B43" s="87"/>
      <c r="C43" s="87"/>
      <c r="D43" s="87"/>
      <c r="E43" s="87"/>
      <c r="F43" s="88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4.25" customHeight="1">
      <c r="A44" s="87"/>
      <c r="B44" s="87"/>
      <c r="C44" s="87"/>
      <c r="D44" s="87"/>
      <c r="E44" s="87"/>
      <c r="F44" s="88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4.25" customHeight="1">
      <c r="F45" s="86"/>
      <c r="H45" s="13"/>
      <c r="I45" s="82"/>
      <c r="J45" s="82"/>
    </row>
    <row r="46" ht="14.25" customHeight="1">
      <c r="F46" s="85"/>
      <c r="I46" s="82"/>
      <c r="J46" s="82"/>
    </row>
    <row r="47" ht="14.25" customHeight="1">
      <c r="F47" s="85"/>
      <c r="I47" s="82"/>
      <c r="J47" s="82"/>
      <c r="L47" s="8" t="s">
        <v>1</v>
      </c>
      <c r="M47" s="8" t="s">
        <v>82</v>
      </c>
      <c r="N47" s="73" t="s">
        <v>80</v>
      </c>
      <c r="O47" s="8" t="s">
        <v>83</v>
      </c>
      <c r="P47" s="73" t="s">
        <v>2</v>
      </c>
      <c r="Q47" s="73" t="s">
        <v>4</v>
      </c>
    </row>
    <row r="48" ht="14.25" customHeight="1">
      <c r="B48" s="30"/>
      <c r="C48" s="73" t="s">
        <v>97</v>
      </c>
      <c r="D48" s="8" t="s">
        <v>79</v>
      </c>
      <c r="E48" s="8" t="s">
        <v>79</v>
      </c>
      <c r="F48" s="8" t="s">
        <v>80</v>
      </c>
      <c r="H48" s="10" t="s">
        <v>81</v>
      </c>
      <c r="I48" s="78"/>
      <c r="L48" s="8">
        <f t="array" ref="L48:L66">SEQUENCE(19,1)</f>
        <v>1</v>
      </c>
      <c r="M48" s="14">
        <v>15.00347222277778</v>
      </c>
      <c r="N48" s="89">
        <v>0.9122807017543859</v>
      </c>
      <c r="O48" s="62">
        <f t="shared" ref="O48:O71" si="5">M48*N48</f>
        <v>13.68737817</v>
      </c>
      <c r="P48" s="40">
        <v>6.0</v>
      </c>
      <c r="Q48" s="62">
        <f t="shared" ref="Q48:Q71" si="6">P48-O48</f>
        <v>-7.687378168</v>
      </c>
    </row>
    <row r="49" ht="14.25" customHeight="1">
      <c r="B49" s="73">
        <v>1.0</v>
      </c>
      <c r="C49" s="40">
        <v>6.0</v>
      </c>
      <c r="D49" s="8"/>
      <c r="E49" s="30"/>
      <c r="F49" s="8"/>
      <c r="H49" s="8" t="s">
        <v>84</v>
      </c>
      <c r="I49" s="90">
        <v>0.9122807017543859</v>
      </c>
      <c r="L49" s="61">
        <v>2.0</v>
      </c>
      <c r="M49" s="14">
        <v>15.00347222277778</v>
      </c>
      <c r="N49" s="89">
        <v>1.126099706744868</v>
      </c>
      <c r="O49" s="62">
        <f t="shared" si="5"/>
        <v>16.89540567</v>
      </c>
      <c r="P49" s="40">
        <v>9.0</v>
      </c>
      <c r="Q49" s="62">
        <f t="shared" si="6"/>
        <v>-7.89540567</v>
      </c>
    </row>
    <row r="50" ht="14.25" customHeight="1">
      <c r="B50" s="73">
        <v>2.0</v>
      </c>
      <c r="C50" s="40">
        <v>9.0</v>
      </c>
      <c r="D50" s="30"/>
      <c r="E50" s="30"/>
      <c r="F50" s="90"/>
      <c r="H50" s="8" t="s">
        <v>85</v>
      </c>
      <c r="I50" s="90">
        <v>1.126099706744868</v>
      </c>
      <c r="L50" s="61">
        <v>3.0</v>
      </c>
      <c r="M50" s="14">
        <v>15.00347222277778</v>
      </c>
      <c r="N50" s="89">
        <v>1.3411764705882352</v>
      </c>
      <c r="O50" s="62">
        <f t="shared" si="5"/>
        <v>20.12230392</v>
      </c>
      <c r="P50" s="40">
        <v>8.0</v>
      </c>
      <c r="Q50" s="62">
        <f t="shared" si="6"/>
        <v>-12.12230392</v>
      </c>
    </row>
    <row r="51" ht="14.25" customHeight="1">
      <c r="B51" s="73">
        <v>3.0</v>
      </c>
      <c r="C51" s="40">
        <v>8.0</v>
      </c>
      <c r="D51" s="30"/>
      <c r="E51" s="30"/>
      <c r="F51" s="90"/>
      <c r="H51" s="8" t="s">
        <v>86</v>
      </c>
      <c r="I51" s="90">
        <v>1.3411764705882352</v>
      </c>
      <c r="L51" s="61">
        <v>4.0</v>
      </c>
      <c r="M51" s="14">
        <v>15.00347222277778</v>
      </c>
      <c r="N51" s="89">
        <v>1.3953488372093024</v>
      </c>
      <c r="O51" s="62">
        <f t="shared" si="5"/>
        <v>20.93507752</v>
      </c>
      <c r="P51" s="40">
        <v>10.0</v>
      </c>
      <c r="Q51" s="62">
        <f t="shared" si="6"/>
        <v>-10.93507752</v>
      </c>
    </row>
    <row r="52" ht="14.25" customHeight="1">
      <c r="B52" s="73">
        <v>4.0</v>
      </c>
      <c r="C52" s="40">
        <v>10.0</v>
      </c>
      <c r="D52" s="30"/>
      <c r="E52" s="30"/>
      <c r="F52" s="90"/>
      <c r="H52" s="8" t="s">
        <v>87</v>
      </c>
      <c r="I52" s="90">
        <v>1.3953488372093024</v>
      </c>
      <c r="L52" s="61">
        <v>5.0</v>
      </c>
      <c r="M52" s="14">
        <v>15.00347222277778</v>
      </c>
      <c r="N52" s="89">
        <v>1.5042735042735043</v>
      </c>
      <c r="O52" s="62">
        <f t="shared" si="5"/>
        <v>22.56932574</v>
      </c>
      <c r="P52" s="40">
        <v>9.0</v>
      </c>
      <c r="Q52" s="62">
        <f t="shared" si="6"/>
        <v>-13.56932574</v>
      </c>
    </row>
    <row r="53" ht="14.25" customHeight="1">
      <c r="B53" s="73">
        <v>5.0</v>
      </c>
      <c r="C53" s="40">
        <v>9.0</v>
      </c>
      <c r="D53" s="30"/>
      <c r="E53" s="30"/>
      <c r="F53" s="90"/>
      <c r="H53" s="8" t="s">
        <v>88</v>
      </c>
      <c r="I53" s="90">
        <v>1.5042735042735043</v>
      </c>
      <c r="L53" s="61">
        <v>6.0</v>
      </c>
      <c r="M53" s="14">
        <v>15.00347222277778</v>
      </c>
      <c r="N53" s="89">
        <v>1.6759776536312847</v>
      </c>
      <c r="O53" s="62">
        <f t="shared" si="5"/>
        <v>25.14548417</v>
      </c>
      <c r="P53" s="40">
        <v>13.0</v>
      </c>
      <c r="Q53" s="62">
        <f t="shared" si="6"/>
        <v>-12.14548417</v>
      </c>
    </row>
    <row r="54" ht="14.25" customHeight="1">
      <c r="B54" s="73">
        <v>6.0</v>
      </c>
      <c r="C54" s="40">
        <v>13.0</v>
      </c>
      <c r="D54" s="31"/>
      <c r="E54" s="30"/>
      <c r="F54" s="90"/>
      <c r="H54" s="8" t="s">
        <v>89</v>
      </c>
      <c r="I54" s="90">
        <v>1.6759776536312847</v>
      </c>
      <c r="L54" s="61">
        <v>7.0</v>
      </c>
      <c r="M54" s="14">
        <v>15.00347222277778</v>
      </c>
      <c r="N54" s="89">
        <v>0.526027397260274</v>
      </c>
      <c r="O54" s="62">
        <f t="shared" si="5"/>
        <v>7.892237443</v>
      </c>
      <c r="P54" s="40">
        <v>13.0</v>
      </c>
      <c r="Q54" s="62">
        <f t="shared" si="6"/>
        <v>5.107762557</v>
      </c>
    </row>
    <row r="55" ht="14.25" customHeight="1">
      <c r="B55" s="40"/>
      <c r="C55" s="61"/>
      <c r="D55" s="30">
        <f>AVERAGE(C49:C66)</f>
        <v>14.16666667</v>
      </c>
      <c r="E55" s="30"/>
      <c r="F55" s="90"/>
      <c r="H55" s="8" t="s">
        <v>90</v>
      </c>
      <c r="I55" s="90">
        <v>0.526027397260274</v>
      </c>
      <c r="L55" s="61">
        <v>8.0</v>
      </c>
      <c r="M55" s="14">
        <v>15.00347222277778</v>
      </c>
      <c r="N55" s="89">
        <v>0.3870967741935484</v>
      </c>
      <c r="O55" s="62">
        <f t="shared" si="5"/>
        <v>5.807795699</v>
      </c>
      <c r="P55" s="40">
        <v>16.0</v>
      </c>
      <c r="Q55" s="62">
        <f t="shared" si="6"/>
        <v>10.1922043</v>
      </c>
    </row>
    <row r="56" ht="14.25" customHeight="1">
      <c r="B56" s="40">
        <v>7.0</v>
      </c>
      <c r="C56" s="40">
        <v>13.0</v>
      </c>
      <c r="D56" s="30"/>
      <c r="E56" s="30">
        <f>AVERAGE(D55,D57)</f>
        <v>14.25</v>
      </c>
      <c r="F56" s="90">
        <f>C56/E56</f>
        <v>0.9122807018</v>
      </c>
      <c r="H56" s="8" t="s">
        <v>91</v>
      </c>
      <c r="I56" s="90">
        <v>0.3870967741935484</v>
      </c>
      <c r="L56" s="61">
        <v>9.0</v>
      </c>
      <c r="M56" s="14">
        <v>15.00347222277778</v>
      </c>
      <c r="N56" s="89">
        <v>0.6382978723404255</v>
      </c>
      <c r="O56" s="62">
        <f t="shared" si="5"/>
        <v>9.576684398</v>
      </c>
      <c r="P56" s="40">
        <v>19.0</v>
      </c>
      <c r="Q56" s="62">
        <f t="shared" si="6"/>
        <v>9.423315602</v>
      </c>
    </row>
    <row r="57" ht="14.25" customHeight="1">
      <c r="B57" s="40"/>
      <c r="C57" s="61"/>
      <c r="D57" s="30">
        <f>AVERAGE(C50:C68)</f>
        <v>14.33333333</v>
      </c>
      <c r="E57" s="30"/>
      <c r="F57" s="90"/>
      <c r="H57" s="8" t="s">
        <v>92</v>
      </c>
      <c r="I57" s="90">
        <v>0.6382978723404255</v>
      </c>
      <c r="L57" s="61">
        <v>10.0</v>
      </c>
      <c r="M57" s="14">
        <v>15.00347222277778</v>
      </c>
      <c r="N57" s="89">
        <v>0.7578947368421053</v>
      </c>
      <c r="O57" s="62">
        <f t="shared" si="5"/>
        <v>11.37105263</v>
      </c>
      <c r="P57" s="40">
        <v>20.0</v>
      </c>
      <c r="Q57" s="62">
        <f t="shared" si="6"/>
        <v>8.628947368</v>
      </c>
    </row>
    <row r="58" ht="14.25" customHeight="1">
      <c r="B58" s="40">
        <v>8.0</v>
      </c>
      <c r="C58" s="40">
        <v>16.0</v>
      </c>
      <c r="D58" s="30"/>
      <c r="E58" s="30">
        <f>AVERAGE(D57,D59)</f>
        <v>14.20833333</v>
      </c>
      <c r="F58" s="90">
        <f>C58/E58</f>
        <v>1.126099707</v>
      </c>
      <c r="H58" s="8" t="s">
        <v>93</v>
      </c>
      <c r="I58" s="91">
        <v>0.7578947368421053</v>
      </c>
      <c r="L58" s="61">
        <v>11.0</v>
      </c>
      <c r="M58" s="14">
        <v>15.00347222277778</v>
      </c>
      <c r="N58" s="89">
        <v>0.8936170210864645</v>
      </c>
      <c r="O58" s="62">
        <f t="shared" si="5"/>
        <v>13.40735815</v>
      </c>
      <c r="P58" s="40">
        <v>22.0</v>
      </c>
      <c r="Q58" s="62">
        <f t="shared" si="6"/>
        <v>8.592641846</v>
      </c>
    </row>
    <row r="59" ht="14.25" customHeight="1">
      <c r="B59" s="40"/>
      <c r="C59" s="61"/>
      <c r="D59" s="30">
        <f>AVERAGE(C51:C70)</f>
        <v>14.08333333</v>
      </c>
      <c r="E59" s="30"/>
      <c r="F59" s="90"/>
      <c r="H59" s="8" t="s">
        <v>94</v>
      </c>
      <c r="I59" s="90">
        <v>0.8936170210864645</v>
      </c>
      <c r="L59" s="61">
        <v>12.0</v>
      </c>
      <c r="M59" s="14">
        <v>15.00347222277778</v>
      </c>
      <c r="N59" s="89">
        <v>0.9574468083069262</v>
      </c>
      <c r="O59" s="62">
        <f t="shared" si="5"/>
        <v>14.36502659</v>
      </c>
      <c r="P59" s="40">
        <v>25.0</v>
      </c>
      <c r="Q59" s="62">
        <f t="shared" si="6"/>
        <v>10.63497341</v>
      </c>
    </row>
    <row r="60" ht="14.25" customHeight="1">
      <c r="B60" s="40">
        <v>9.0</v>
      </c>
      <c r="C60" s="40">
        <v>19.0</v>
      </c>
      <c r="D60" s="30"/>
      <c r="E60" s="30">
        <f>AVERAGE(D59,D61)</f>
        <v>14.16666667</v>
      </c>
      <c r="F60" s="90">
        <f>C60/E60</f>
        <v>1.341176471</v>
      </c>
      <c r="H60" s="8" t="s">
        <v>95</v>
      </c>
      <c r="I60" s="90">
        <v>0.9574468083069262</v>
      </c>
      <c r="L60" s="61">
        <v>13.0</v>
      </c>
      <c r="M60" s="14">
        <v>15.00347222277778</v>
      </c>
      <c r="N60" s="89">
        <v>0.9122807017543859</v>
      </c>
      <c r="O60" s="62">
        <f t="shared" si="5"/>
        <v>13.68737817</v>
      </c>
      <c r="P60" s="40">
        <v>8.0</v>
      </c>
      <c r="Q60" s="62">
        <f t="shared" si="6"/>
        <v>-5.687378168</v>
      </c>
    </row>
    <row r="61" ht="14.25" customHeight="1">
      <c r="B61" s="40"/>
      <c r="C61" s="61"/>
      <c r="D61" s="30">
        <f>AVERAGE(C52:C72)</f>
        <v>14.25</v>
      </c>
      <c r="E61" s="30"/>
      <c r="F61" s="90"/>
      <c r="H61" s="13"/>
      <c r="I61" s="82"/>
      <c r="L61" s="61">
        <v>14.0</v>
      </c>
      <c r="M61" s="14">
        <v>15.00347222277778</v>
      </c>
      <c r="N61" s="89">
        <v>1.126099706744868</v>
      </c>
      <c r="O61" s="62">
        <f t="shared" si="5"/>
        <v>16.89540567</v>
      </c>
      <c r="P61" s="73">
        <v>6.0</v>
      </c>
      <c r="Q61" s="62">
        <f t="shared" si="6"/>
        <v>-10.89540567</v>
      </c>
    </row>
    <row r="62" ht="14.25" customHeight="1">
      <c r="B62" s="40">
        <v>10.0</v>
      </c>
      <c r="C62" s="40">
        <v>20.0</v>
      </c>
      <c r="E62" s="30">
        <f>AVERAGE(D61,D63)</f>
        <v>14.33333333</v>
      </c>
      <c r="F62" s="90">
        <f>C62/E62</f>
        <v>1.395348837</v>
      </c>
      <c r="L62" s="61">
        <v>15.0</v>
      </c>
      <c r="M62" s="14">
        <v>15.00347222277778</v>
      </c>
      <c r="N62" s="89">
        <v>1.3411764705882352</v>
      </c>
      <c r="O62" s="62">
        <f t="shared" si="5"/>
        <v>20.12230392</v>
      </c>
      <c r="P62" s="73">
        <v>10.0</v>
      </c>
      <c r="Q62" s="62">
        <f t="shared" si="6"/>
        <v>-10.12230392</v>
      </c>
    </row>
    <row r="63" ht="14.25" customHeight="1">
      <c r="B63" s="61"/>
      <c r="C63" s="61"/>
      <c r="D63" s="30">
        <f>AVERAGE(C53:C74)</f>
        <v>14.41666667</v>
      </c>
      <c r="E63" s="30"/>
      <c r="F63" s="90"/>
      <c r="L63" s="61">
        <v>16.0</v>
      </c>
      <c r="M63" s="14">
        <v>15.00347222277778</v>
      </c>
      <c r="N63" s="89">
        <v>1.3953488372093024</v>
      </c>
      <c r="O63" s="62">
        <f t="shared" si="5"/>
        <v>20.93507752</v>
      </c>
      <c r="P63" s="73">
        <v>12.0</v>
      </c>
      <c r="Q63" s="62">
        <f t="shared" si="6"/>
        <v>-8.93507752</v>
      </c>
    </row>
    <row r="64" ht="14.25" customHeight="1">
      <c r="B64" s="40">
        <v>11.0</v>
      </c>
      <c r="C64" s="40">
        <v>22.0</v>
      </c>
      <c r="D64" s="30"/>
      <c r="E64" s="30">
        <f>AVERAGE(D63,D65)</f>
        <v>14.625</v>
      </c>
      <c r="F64" s="90">
        <f>C64/E64</f>
        <v>1.504273504</v>
      </c>
      <c r="L64" s="61">
        <v>17.0</v>
      </c>
      <c r="M64" s="14">
        <v>15.00347222277778</v>
      </c>
      <c r="N64" s="89">
        <v>1.5042735042735043</v>
      </c>
      <c r="O64" s="62">
        <f t="shared" si="5"/>
        <v>22.56932574</v>
      </c>
      <c r="P64" s="73">
        <v>14.0</v>
      </c>
      <c r="Q64" s="62">
        <f t="shared" si="6"/>
        <v>-8.569325737</v>
      </c>
    </row>
    <row r="65" ht="14.25" customHeight="1">
      <c r="B65" s="40"/>
      <c r="C65" s="61"/>
      <c r="D65" s="30">
        <f>AVERAGE(C54:C76)</f>
        <v>14.83333333</v>
      </c>
      <c r="E65" s="30"/>
      <c r="F65" s="90"/>
      <c r="L65" s="61">
        <v>18.0</v>
      </c>
      <c r="M65" s="14">
        <v>15.00347222277778</v>
      </c>
      <c r="N65" s="89">
        <v>1.6759776536312847</v>
      </c>
      <c r="O65" s="62">
        <f t="shared" si="5"/>
        <v>25.14548417</v>
      </c>
      <c r="P65" s="73">
        <v>15.0</v>
      </c>
      <c r="Q65" s="62">
        <f t="shared" si="6"/>
        <v>-10.14548417</v>
      </c>
    </row>
    <row r="66" ht="14.25" customHeight="1">
      <c r="B66" s="40">
        <v>12.0</v>
      </c>
      <c r="C66" s="40">
        <v>25.0</v>
      </c>
      <c r="D66" s="30"/>
      <c r="E66" s="30">
        <f>AVERAGE(D65,D67)</f>
        <v>14.91666667</v>
      </c>
      <c r="F66" s="90">
        <f>C66/E66</f>
        <v>1.675977654</v>
      </c>
      <c r="L66" s="61">
        <v>19.0</v>
      </c>
      <c r="M66" s="14">
        <v>15.00347222277778</v>
      </c>
      <c r="N66" s="92">
        <v>0.526027397260274</v>
      </c>
      <c r="O66" s="62">
        <f t="shared" si="5"/>
        <v>7.892237443</v>
      </c>
      <c r="P66" s="73">
        <v>18.0</v>
      </c>
      <c r="Q66" s="62">
        <f t="shared" si="6"/>
        <v>10.10776256</v>
      </c>
    </row>
    <row r="67" ht="14.25" customHeight="1">
      <c r="B67" s="40"/>
      <c r="C67" s="61"/>
      <c r="D67" s="30">
        <f>AVERAGE(C56:C78)</f>
        <v>15</v>
      </c>
      <c r="E67" s="30"/>
      <c r="F67" s="90"/>
      <c r="L67" s="73">
        <v>20.0</v>
      </c>
      <c r="M67" s="14">
        <v>15.00347222277778</v>
      </c>
      <c r="N67" s="93">
        <v>0.3870967741935484</v>
      </c>
      <c r="O67" s="62">
        <f t="shared" si="5"/>
        <v>5.807795699</v>
      </c>
      <c r="P67" s="73">
        <v>18.0</v>
      </c>
      <c r="Q67" s="62">
        <f t="shared" si="6"/>
        <v>12.1922043</v>
      </c>
    </row>
    <row r="68" ht="14.25" customHeight="1">
      <c r="B68" s="40">
        <v>13.0</v>
      </c>
      <c r="C68" s="40">
        <v>8.0</v>
      </c>
      <c r="D68" s="30"/>
      <c r="E68" s="30">
        <f>AVERAGE(D67,D69)</f>
        <v>15.20833333</v>
      </c>
      <c r="F68" s="90">
        <f>C68/E68</f>
        <v>0.5260273973</v>
      </c>
      <c r="L68" s="73">
        <v>21.0</v>
      </c>
      <c r="M68" s="14">
        <v>15.00347222277778</v>
      </c>
      <c r="N68" s="94">
        <v>0.6382978723404255</v>
      </c>
      <c r="O68" s="62">
        <f t="shared" si="5"/>
        <v>9.576684398</v>
      </c>
      <c r="P68" s="73">
        <v>21.0</v>
      </c>
      <c r="Q68" s="62">
        <f t="shared" si="6"/>
        <v>11.4233156</v>
      </c>
    </row>
    <row r="69" ht="14.25" customHeight="1">
      <c r="B69" s="73"/>
      <c r="C69" s="61"/>
      <c r="D69" s="30">
        <f>AVERAGE(C58:C80)</f>
        <v>15.41666667</v>
      </c>
      <c r="E69" s="30"/>
      <c r="F69" s="90"/>
      <c r="L69" s="73">
        <v>22.0</v>
      </c>
      <c r="M69" s="14">
        <v>15.00347222277778</v>
      </c>
      <c r="N69" s="94">
        <v>0.7578947368421053</v>
      </c>
      <c r="O69" s="62">
        <f t="shared" si="5"/>
        <v>11.37105263</v>
      </c>
      <c r="P69" s="73">
        <v>22.0</v>
      </c>
      <c r="Q69" s="62">
        <f t="shared" si="6"/>
        <v>10.62894737</v>
      </c>
    </row>
    <row r="70" ht="14.25" customHeight="1">
      <c r="B70" s="73">
        <v>14.0</v>
      </c>
      <c r="C70" s="73">
        <v>6.0</v>
      </c>
      <c r="D70" s="30"/>
      <c r="E70" s="30">
        <f>AVERAGE(D69,D71)</f>
        <v>15.5</v>
      </c>
      <c r="F70" s="90">
        <f>C70/E70</f>
        <v>0.3870967742</v>
      </c>
      <c r="L70" s="73">
        <v>23.0</v>
      </c>
      <c r="M70" s="14">
        <v>15.00347222277778</v>
      </c>
      <c r="N70" s="94">
        <v>0.8936170210864645</v>
      </c>
      <c r="O70" s="62">
        <f t="shared" si="5"/>
        <v>13.40735815</v>
      </c>
      <c r="P70" s="73">
        <v>23.0</v>
      </c>
      <c r="Q70" s="62">
        <f t="shared" si="6"/>
        <v>9.592641846</v>
      </c>
    </row>
    <row r="71" ht="14.25" customHeight="1">
      <c r="B71" s="73"/>
      <c r="C71" s="61"/>
      <c r="D71" s="30">
        <f>AVERAGE(C60:C81)</f>
        <v>15.58333333</v>
      </c>
      <c r="E71" s="30"/>
      <c r="F71" s="90"/>
      <c r="L71" s="73">
        <v>24.0</v>
      </c>
      <c r="M71" s="14">
        <v>15.00347222277778</v>
      </c>
      <c r="N71" s="94">
        <v>0.9574468083069262</v>
      </c>
      <c r="O71" s="62">
        <f t="shared" si="5"/>
        <v>14.36502659</v>
      </c>
      <c r="P71" s="73">
        <v>27.0</v>
      </c>
      <c r="Q71" s="62">
        <f t="shared" si="6"/>
        <v>12.63497341</v>
      </c>
    </row>
    <row r="72" ht="14.25" customHeight="1">
      <c r="B72" s="73">
        <v>15.0</v>
      </c>
      <c r="C72" s="73">
        <v>10.0</v>
      </c>
      <c r="D72" s="30"/>
      <c r="E72" s="30">
        <f>AVERAGE(D71,D73)</f>
        <v>15.66666667</v>
      </c>
      <c r="F72" s="90">
        <f>C72/E72</f>
        <v>0.6382978723</v>
      </c>
      <c r="L72" s="17" t="s">
        <v>27</v>
      </c>
      <c r="M72" s="3"/>
      <c r="N72" s="3"/>
      <c r="O72" s="3"/>
      <c r="P72" s="22"/>
      <c r="Q72" s="50">
        <f>SUM(Q48:Q71)</f>
        <v>0.4497397826</v>
      </c>
    </row>
    <row r="73" ht="14.25" customHeight="1">
      <c r="B73" s="73"/>
      <c r="C73" s="61"/>
      <c r="D73" s="30">
        <f>AVERAGE(C62:C82)</f>
        <v>15.75</v>
      </c>
      <c r="E73" s="30"/>
      <c r="F73" s="30"/>
      <c r="L73" s="17" t="s">
        <v>9</v>
      </c>
      <c r="M73" s="3"/>
      <c r="N73" s="3"/>
      <c r="O73" s="3"/>
      <c r="P73" s="22"/>
    </row>
    <row r="74" ht="14.25" customHeight="1">
      <c r="B74" s="73">
        <v>16.0</v>
      </c>
      <c r="C74" s="73">
        <v>12.0</v>
      </c>
      <c r="D74" s="30"/>
      <c r="E74" s="30">
        <f>AVERAGE(D73,D75)</f>
        <v>15.83333333</v>
      </c>
      <c r="F74" s="90">
        <f>C74/E74</f>
        <v>0.7578947368</v>
      </c>
    </row>
    <row r="75" ht="14.25" customHeight="1">
      <c r="B75" s="61"/>
      <c r="C75" s="61"/>
      <c r="D75" s="30">
        <f>AVERAGE(C64:C83)</f>
        <v>15.91666667</v>
      </c>
      <c r="E75" s="30"/>
      <c r="F75" s="30"/>
    </row>
    <row r="76" ht="14.25" customHeight="1">
      <c r="B76" s="73">
        <v>17.0</v>
      </c>
      <c r="C76" s="73">
        <v>14.0</v>
      </c>
      <c r="D76" s="30"/>
      <c r="E76" s="42">
        <v>15.66666667</v>
      </c>
      <c r="F76" s="90">
        <f>C76/E76</f>
        <v>0.8936170211</v>
      </c>
    </row>
    <row r="77" ht="14.25" customHeight="1">
      <c r="B77" s="61"/>
      <c r="C77" s="61"/>
      <c r="D77" s="30">
        <f>AVERAGE(C66:C84)</f>
        <v>16</v>
      </c>
      <c r="E77" s="30"/>
      <c r="F77" s="30"/>
    </row>
    <row r="78" ht="14.25" customHeight="1">
      <c r="B78" s="73">
        <v>18.0</v>
      </c>
      <c r="C78" s="73">
        <v>15.0</v>
      </c>
      <c r="D78" s="30"/>
      <c r="E78" s="42">
        <v>15.66666667</v>
      </c>
      <c r="F78" s="90">
        <f>C78/E78</f>
        <v>0.9574468083</v>
      </c>
    </row>
    <row r="79" ht="14.25" customHeight="1">
      <c r="B79" s="61"/>
      <c r="C79" s="61"/>
      <c r="D79" s="30">
        <f>AVERAGE(C68:C85)</f>
        <v>16.16666667</v>
      </c>
      <c r="E79" s="30"/>
      <c r="F79" s="30"/>
    </row>
    <row r="80" ht="14.25" customHeight="1">
      <c r="B80" s="73">
        <v>19.0</v>
      </c>
      <c r="C80" s="73">
        <v>18.0</v>
      </c>
      <c r="D80" s="30"/>
      <c r="E80" s="30"/>
      <c r="F80" s="30"/>
    </row>
    <row r="81" ht="14.25" customHeight="1">
      <c r="B81" s="73">
        <v>20.0</v>
      </c>
      <c r="C81" s="73">
        <v>18.0</v>
      </c>
      <c r="D81" s="30"/>
      <c r="E81" s="30"/>
      <c r="F81" s="30"/>
    </row>
    <row r="82" ht="14.25" customHeight="1">
      <c r="B82" s="73">
        <v>21.0</v>
      </c>
      <c r="C82" s="73">
        <v>21.0</v>
      </c>
      <c r="D82" s="30"/>
      <c r="E82" s="30"/>
      <c r="F82" s="30"/>
    </row>
    <row r="83" ht="14.25" customHeight="1">
      <c r="B83" s="73">
        <v>22.0</v>
      </c>
      <c r="C83" s="73">
        <v>22.0</v>
      </c>
      <c r="D83" s="30"/>
      <c r="E83" s="30"/>
      <c r="F83" s="30"/>
    </row>
    <row r="84" ht="14.25" customHeight="1">
      <c r="B84" s="73">
        <v>23.0</v>
      </c>
      <c r="C84" s="73">
        <v>23.0</v>
      </c>
      <c r="D84" s="30"/>
      <c r="E84" s="30"/>
      <c r="F84" s="30"/>
    </row>
    <row r="85" ht="14.25" customHeight="1">
      <c r="B85" s="73">
        <v>24.0</v>
      </c>
      <c r="C85" s="73">
        <v>27.0</v>
      </c>
      <c r="D85" s="30"/>
      <c r="E85" s="30"/>
      <c r="F85" s="30"/>
    </row>
    <row r="86" ht="14.25" customHeight="1">
      <c r="B86" s="17" t="s">
        <v>96</v>
      </c>
      <c r="C86" s="22"/>
      <c r="D86" s="14"/>
      <c r="E86" s="14">
        <f>AVERAGE(E56:E78)</f>
        <v>15.00347222</v>
      </c>
      <c r="F86" s="30"/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L72:P72"/>
    <mergeCell ref="L73:P73"/>
    <mergeCell ref="B86:C86"/>
    <mergeCell ref="A1:E1"/>
    <mergeCell ref="M1:R1"/>
    <mergeCell ref="H2:I2"/>
    <mergeCell ref="M27:Q27"/>
    <mergeCell ref="M28:Q28"/>
    <mergeCell ref="B40:C40"/>
    <mergeCell ref="H48:I48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6" width="8.71"/>
    <col customWidth="1" min="7" max="7" width="12.0"/>
    <col customWidth="1" min="8" max="12" width="8.71"/>
    <col customWidth="1" min="13" max="13" width="9.43"/>
    <col customWidth="1" min="14" max="26" width="8.71"/>
  </cols>
  <sheetData>
    <row r="1" ht="14.25" customHeight="1">
      <c r="B1" s="10" t="s">
        <v>76</v>
      </c>
      <c r="C1" s="77"/>
      <c r="D1" s="77"/>
      <c r="E1" s="78"/>
      <c r="G1" s="10" t="s">
        <v>81</v>
      </c>
      <c r="H1" s="78"/>
      <c r="I1" s="13"/>
      <c r="J1" s="10" t="s">
        <v>77</v>
      </c>
      <c r="K1" s="77"/>
      <c r="L1" s="77"/>
      <c r="M1" s="77"/>
      <c r="N1" s="77"/>
      <c r="O1" s="78"/>
    </row>
    <row r="2" ht="14.25" customHeight="1">
      <c r="B2" s="8" t="s">
        <v>98</v>
      </c>
      <c r="C2" s="95" t="s">
        <v>99</v>
      </c>
      <c r="D2" s="11" t="s">
        <v>79</v>
      </c>
      <c r="E2" s="6" t="s">
        <v>80</v>
      </c>
      <c r="G2" s="8" t="s">
        <v>84</v>
      </c>
      <c r="H2" s="79">
        <f t="shared" ref="H2:H10" si="1">AVERAGE(E3,E12,E21)</f>
        <v>1.213021348</v>
      </c>
      <c r="I2" s="13"/>
      <c r="J2" s="6" t="s">
        <v>1</v>
      </c>
      <c r="K2" s="6" t="s">
        <v>82</v>
      </c>
      <c r="L2" s="6" t="s">
        <v>80</v>
      </c>
      <c r="M2" s="6" t="s">
        <v>83</v>
      </c>
      <c r="N2" s="6" t="s">
        <v>2</v>
      </c>
      <c r="O2" s="6" t="s">
        <v>4</v>
      </c>
    </row>
    <row r="3" ht="14.25" customHeight="1">
      <c r="B3" s="42">
        <v>1.0</v>
      </c>
      <c r="C3" s="23">
        <v>2880.0</v>
      </c>
      <c r="D3" s="8"/>
      <c r="E3" s="8"/>
      <c r="G3" s="8" t="s">
        <v>85</v>
      </c>
      <c r="H3" s="79">
        <f t="shared" si="1"/>
        <v>1.154280141</v>
      </c>
      <c r="I3" s="13"/>
      <c r="J3" s="8">
        <v>1.0</v>
      </c>
      <c r="K3" s="41">
        <f t="shared" ref="K3:K27" si="2">$D$27</f>
        <v>2325.951389</v>
      </c>
      <c r="L3" s="80">
        <v>1.2130698935957205</v>
      </c>
      <c r="M3" s="41">
        <f t="shared" ref="M3:M27" si="3">K3*L3</f>
        <v>2821.541604</v>
      </c>
      <c r="N3" s="8">
        <f t="shared" ref="N3:N26" si="4">C3</f>
        <v>2880</v>
      </c>
      <c r="O3" s="41">
        <f t="shared" ref="O3:O26" si="5">N3-M3</f>
        <v>58.45839617</v>
      </c>
    </row>
    <row r="4" ht="14.25" customHeight="1">
      <c r="B4" s="42">
        <v>2.0</v>
      </c>
      <c r="C4" s="23">
        <v>2733.0</v>
      </c>
      <c r="D4" s="8"/>
      <c r="E4" s="8"/>
      <c r="G4" s="8" t="s">
        <v>86</v>
      </c>
      <c r="H4" s="79">
        <f t="shared" si="1"/>
        <v>0.9431639227</v>
      </c>
      <c r="I4" s="13"/>
      <c r="J4" s="8">
        <v>2.0</v>
      </c>
      <c r="K4" s="41">
        <f t="shared" si="2"/>
        <v>2325.951389</v>
      </c>
      <c r="L4" s="80">
        <v>1.1543175660201621</v>
      </c>
      <c r="M4" s="41">
        <f t="shared" si="3"/>
        <v>2684.886546</v>
      </c>
      <c r="N4" s="8">
        <f t="shared" si="4"/>
        <v>2733</v>
      </c>
      <c r="O4" s="41">
        <f t="shared" si="5"/>
        <v>48.1134541</v>
      </c>
    </row>
    <row r="5" ht="14.25" customHeight="1">
      <c r="B5" s="42">
        <v>3.0</v>
      </c>
      <c r="C5" s="23">
        <v>2146.0</v>
      </c>
      <c r="D5" s="8"/>
      <c r="E5" s="8"/>
      <c r="G5" s="8" t="s">
        <v>87</v>
      </c>
      <c r="H5" s="79">
        <f t="shared" si="1"/>
        <v>0.773745947</v>
      </c>
      <c r="I5" s="13"/>
      <c r="J5" s="8">
        <v>3.0</v>
      </c>
      <c r="K5" s="41">
        <f t="shared" si="2"/>
        <v>2325.951389</v>
      </c>
      <c r="L5" s="80">
        <v>0.9431549209742689</v>
      </c>
      <c r="M5" s="41">
        <f t="shared" si="3"/>
        <v>2193.732498</v>
      </c>
      <c r="N5" s="8">
        <f t="shared" si="4"/>
        <v>2146</v>
      </c>
      <c r="O5" s="41">
        <f t="shared" si="5"/>
        <v>-47.73249838</v>
      </c>
    </row>
    <row r="6" ht="14.25" customHeight="1">
      <c r="B6" s="42">
        <v>4.0</v>
      </c>
      <c r="C6" s="23">
        <v>1800.0</v>
      </c>
      <c r="D6" s="8"/>
      <c r="E6" s="8"/>
      <c r="G6" s="8" t="s">
        <v>88</v>
      </c>
      <c r="H6" s="79">
        <f t="shared" si="1"/>
        <v>0.7209693854</v>
      </c>
      <c r="I6" s="13"/>
      <c r="J6" s="8">
        <v>4.0</v>
      </c>
      <c r="K6" s="41">
        <f t="shared" si="2"/>
        <v>2325.951389</v>
      </c>
      <c r="L6" s="80">
        <v>0.773802258162954</v>
      </c>
      <c r="M6" s="41">
        <f t="shared" si="3"/>
        <v>1799.826437</v>
      </c>
      <c r="N6" s="8">
        <f t="shared" si="4"/>
        <v>1800</v>
      </c>
      <c r="O6" s="41">
        <f t="shared" si="5"/>
        <v>0.1735629005</v>
      </c>
    </row>
    <row r="7" ht="14.25" customHeight="1">
      <c r="B7" s="42">
        <v>5.0</v>
      </c>
      <c r="C7" s="23">
        <v>1686.0</v>
      </c>
      <c r="D7" s="14">
        <f t="shared" ref="D7:D22" si="6">AVERAGE(C3:C11)</f>
        <v>2337.111111</v>
      </c>
      <c r="E7" s="96">
        <f t="shared" ref="E7:E22" si="7">C7/D7</f>
        <v>0.721403442</v>
      </c>
      <c r="G7" s="8" t="s">
        <v>89</v>
      </c>
      <c r="H7" s="79">
        <f t="shared" si="1"/>
        <v>0.8173988745</v>
      </c>
      <c r="I7" s="13"/>
      <c r="J7" s="8">
        <v>5.0</v>
      </c>
      <c r="K7" s="41">
        <f t="shared" si="2"/>
        <v>2325.951389</v>
      </c>
      <c r="L7" s="80">
        <v>0.7208576515499387</v>
      </c>
      <c r="M7" s="41">
        <f t="shared" si="3"/>
        <v>1676.679856</v>
      </c>
      <c r="N7" s="8">
        <f t="shared" si="4"/>
        <v>1686</v>
      </c>
      <c r="O7" s="41">
        <f t="shared" si="5"/>
        <v>9.320144186</v>
      </c>
    </row>
    <row r="8" ht="14.25" customHeight="1">
      <c r="B8" s="42">
        <v>6.0</v>
      </c>
      <c r="C8" s="23">
        <v>1882.0</v>
      </c>
      <c r="D8" s="14">
        <f t="shared" si="6"/>
        <v>2325.333333</v>
      </c>
      <c r="E8" s="96">
        <f t="shared" si="7"/>
        <v>0.8093463303</v>
      </c>
      <c r="G8" s="8" t="s">
        <v>90</v>
      </c>
      <c r="H8" s="79">
        <f t="shared" si="1"/>
        <v>0.9799126578</v>
      </c>
      <c r="I8" s="13"/>
      <c r="J8" s="8">
        <v>6.0</v>
      </c>
      <c r="K8" s="41">
        <f t="shared" si="2"/>
        <v>2325.951389</v>
      </c>
      <c r="L8" s="80">
        <v>0.8173359133636763</v>
      </c>
      <c r="M8" s="41">
        <f t="shared" si="3"/>
        <v>1901.083603</v>
      </c>
      <c r="N8" s="8">
        <f t="shared" si="4"/>
        <v>1882</v>
      </c>
      <c r="O8" s="41">
        <f t="shared" si="5"/>
        <v>-19.08360288</v>
      </c>
    </row>
    <row r="9" ht="14.25" customHeight="1">
      <c r="B9" s="42">
        <v>7.0</v>
      </c>
      <c r="C9" s="23">
        <v>2273.0</v>
      </c>
      <c r="D9" s="14">
        <f t="shared" si="6"/>
        <v>2319.333333</v>
      </c>
      <c r="E9" s="96">
        <f t="shared" si="7"/>
        <v>0.9800229951</v>
      </c>
      <c r="G9" s="8" t="s">
        <v>91</v>
      </c>
      <c r="H9" s="79">
        <f t="shared" si="1"/>
        <v>1.146414609</v>
      </c>
      <c r="I9" s="13"/>
      <c r="J9" s="8">
        <v>7.0</v>
      </c>
      <c r="K9" s="41">
        <f t="shared" si="2"/>
        <v>2325.951389</v>
      </c>
      <c r="L9" s="80">
        <v>0.9798930324476508</v>
      </c>
      <c r="M9" s="41">
        <f t="shared" si="3"/>
        <v>2279.18356</v>
      </c>
      <c r="N9" s="8">
        <f t="shared" si="4"/>
        <v>2273</v>
      </c>
      <c r="O9" s="41">
        <f t="shared" si="5"/>
        <v>-6.183559784</v>
      </c>
    </row>
    <row r="10" ht="14.25" customHeight="1">
      <c r="B10" s="42">
        <v>8.0</v>
      </c>
      <c r="C10" s="23">
        <v>2658.0</v>
      </c>
      <c r="D10" s="14">
        <f t="shared" si="6"/>
        <v>2324.888889</v>
      </c>
      <c r="E10" s="96">
        <f t="shared" si="7"/>
        <v>1.143280444</v>
      </c>
      <c r="G10" s="8" t="s">
        <v>92</v>
      </c>
      <c r="H10" s="79">
        <f t="shared" si="1"/>
        <v>1.250867406</v>
      </c>
      <c r="I10" s="13"/>
      <c r="J10" s="8">
        <v>8.0</v>
      </c>
      <c r="K10" s="41">
        <f t="shared" si="2"/>
        <v>2325.951389</v>
      </c>
      <c r="L10" s="80">
        <v>1.146387921663884</v>
      </c>
      <c r="M10" s="41">
        <f t="shared" si="3"/>
        <v>2666.442579</v>
      </c>
      <c r="N10" s="8">
        <f t="shared" si="4"/>
        <v>2658</v>
      </c>
      <c r="O10" s="41">
        <f t="shared" si="5"/>
        <v>-8.4425786</v>
      </c>
    </row>
    <row r="11" ht="14.25" customHeight="1">
      <c r="B11" s="42">
        <v>9.0</v>
      </c>
      <c r="C11" s="23">
        <v>2976.0</v>
      </c>
      <c r="D11" s="14">
        <f t="shared" si="6"/>
        <v>2325.222222</v>
      </c>
      <c r="E11" s="96">
        <f t="shared" si="7"/>
        <v>1.27987767</v>
      </c>
      <c r="G11" s="13"/>
      <c r="H11" s="13"/>
      <c r="I11" s="13"/>
      <c r="J11" s="8">
        <v>9.0</v>
      </c>
      <c r="K11" s="41">
        <f t="shared" si="2"/>
        <v>2325.951389</v>
      </c>
      <c r="L11" s="80">
        <v>1.2509286118423208</v>
      </c>
      <c r="M11" s="41">
        <f t="shared" si="3"/>
        <v>2909.599142</v>
      </c>
      <c r="N11" s="8">
        <f t="shared" si="4"/>
        <v>2976</v>
      </c>
      <c r="O11" s="41">
        <f t="shared" si="5"/>
        <v>66.40085788</v>
      </c>
    </row>
    <row r="12" ht="14.25" customHeight="1">
      <c r="B12" s="42">
        <v>10.0</v>
      </c>
      <c r="C12" s="23">
        <v>2774.0</v>
      </c>
      <c r="D12" s="14">
        <f t="shared" si="6"/>
        <v>2323.333333</v>
      </c>
      <c r="E12" s="96">
        <f t="shared" si="7"/>
        <v>1.193974175</v>
      </c>
      <c r="I12" s="13"/>
      <c r="J12" s="8">
        <v>10.0</v>
      </c>
      <c r="K12" s="41">
        <f t="shared" si="2"/>
        <v>2325.951389</v>
      </c>
      <c r="L12" s="80">
        <v>1.2130698935957205</v>
      </c>
      <c r="M12" s="41">
        <f t="shared" si="3"/>
        <v>2821.541604</v>
      </c>
      <c r="N12" s="8">
        <f t="shared" si="4"/>
        <v>2774</v>
      </c>
      <c r="O12" s="41">
        <f t="shared" si="5"/>
        <v>-47.54160383</v>
      </c>
    </row>
    <row r="13" ht="14.25" customHeight="1">
      <c r="B13" s="42">
        <v>11.0</v>
      </c>
      <c r="C13" s="23">
        <v>2679.0</v>
      </c>
      <c r="D13" s="14">
        <f t="shared" si="6"/>
        <v>2327.555556</v>
      </c>
      <c r="E13" s="96">
        <f t="shared" si="7"/>
        <v>1.150992935</v>
      </c>
      <c r="I13" s="13"/>
      <c r="J13" s="8">
        <v>11.0</v>
      </c>
      <c r="K13" s="41">
        <f t="shared" si="2"/>
        <v>2325.951389</v>
      </c>
      <c r="L13" s="80">
        <v>1.1543175660201621</v>
      </c>
      <c r="M13" s="41">
        <f t="shared" si="3"/>
        <v>2684.886546</v>
      </c>
      <c r="N13" s="8">
        <f t="shared" si="4"/>
        <v>2679</v>
      </c>
      <c r="O13" s="41">
        <f t="shared" si="5"/>
        <v>-5.886545903</v>
      </c>
    </row>
    <row r="14" ht="14.25" customHeight="1">
      <c r="B14" s="42">
        <v>12.0</v>
      </c>
      <c r="C14" s="23">
        <v>2196.0</v>
      </c>
      <c r="D14" s="14">
        <f t="shared" si="6"/>
        <v>2328.333333</v>
      </c>
      <c r="E14" s="96">
        <f t="shared" si="7"/>
        <v>0.9431639227</v>
      </c>
      <c r="I14" s="13"/>
      <c r="J14" s="8">
        <v>12.0</v>
      </c>
      <c r="K14" s="41">
        <f t="shared" si="2"/>
        <v>2325.951389</v>
      </c>
      <c r="L14" s="80">
        <v>0.9431549209742689</v>
      </c>
      <c r="M14" s="41">
        <f t="shared" si="3"/>
        <v>2193.732498</v>
      </c>
      <c r="N14" s="8">
        <f t="shared" si="4"/>
        <v>2196</v>
      </c>
      <c r="O14" s="41">
        <f t="shared" si="5"/>
        <v>2.267501623</v>
      </c>
    </row>
    <row r="15" ht="14.25" customHeight="1">
      <c r="B15" s="42">
        <v>13.0</v>
      </c>
      <c r="C15" s="23">
        <v>1803.0</v>
      </c>
      <c r="D15" s="14">
        <f t="shared" si="6"/>
        <v>2330.222222</v>
      </c>
      <c r="E15" s="96">
        <f t="shared" si="7"/>
        <v>0.773745947</v>
      </c>
      <c r="I15" s="13"/>
      <c r="J15" s="8">
        <v>13.0</v>
      </c>
      <c r="K15" s="41">
        <f t="shared" si="2"/>
        <v>2325.951389</v>
      </c>
      <c r="L15" s="80">
        <v>0.773802258162954</v>
      </c>
      <c r="M15" s="41">
        <f t="shared" si="3"/>
        <v>1799.826437</v>
      </c>
      <c r="N15" s="8">
        <f t="shared" si="4"/>
        <v>1803</v>
      </c>
      <c r="O15" s="41">
        <f t="shared" si="5"/>
        <v>3.173562901</v>
      </c>
    </row>
    <row r="16" ht="14.25" customHeight="1">
      <c r="B16" s="42">
        <v>14.0</v>
      </c>
      <c r="C16" s="23">
        <v>1669.0</v>
      </c>
      <c r="D16" s="14">
        <f t="shared" si="6"/>
        <v>2316.333333</v>
      </c>
      <c r="E16" s="96">
        <f t="shared" si="7"/>
        <v>0.7205353288</v>
      </c>
      <c r="I16" s="13"/>
      <c r="J16" s="8">
        <v>14.0</v>
      </c>
      <c r="K16" s="41">
        <f t="shared" si="2"/>
        <v>2325.951389</v>
      </c>
      <c r="L16" s="80">
        <v>0.7208576515499387</v>
      </c>
      <c r="M16" s="41">
        <f t="shared" si="3"/>
        <v>1676.679856</v>
      </c>
      <c r="N16" s="8">
        <f t="shared" si="4"/>
        <v>1669</v>
      </c>
      <c r="O16" s="41">
        <f t="shared" si="5"/>
        <v>-7.679855814</v>
      </c>
    </row>
    <row r="17" ht="14.25" customHeight="1">
      <c r="B17" s="42">
        <v>15.0</v>
      </c>
      <c r="C17" s="23">
        <v>1920.0</v>
      </c>
      <c r="D17" s="14">
        <f t="shared" si="6"/>
        <v>2326</v>
      </c>
      <c r="E17" s="96">
        <f t="shared" si="7"/>
        <v>0.8254514187</v>
      </c>
      <c r="I17" s="13"/>
      <c r="J17" s="8">
        <v>15.0</v>
      </c>
      <c r="K17" s="41">
        <f t="shared" si="2"/>
        <v>2325.951389</v>
      </c>
      <c r="L17" s="80">
        <v>0.8173359133636763</v>
      </c>
      <c r="M17" s="41">
        <f t="shared" si="3"/>
        <v>1901.083603</v>
      </c>
      <c r="N17" s="8">
        <f t="shared" si="4"/>
        <v>1920</v>
      </c>
      <c r="O17" s="41">
        <f t="shared" si="5"/>
        <v>18.91639712</v>
      </c>
    </row>
    <row r="18" ht="14.25" customHeight="1">
      <c r="B18" s="42">
        <v>16.0</v>
      </c>
      <c r="C18" s="23">
        <v>2280.0</v>
      </c>
      <c r="D18" s="14">
        <f t="shared" si="6"/>
        <v>2327</v>
      </c>
      <c r="E18" s="96">
        <f t="shared" si="7"/>
        <v>0.9798023206</v>
      </c>
      <c r="I18" s="13"/>
      <c r="J18" s="8">
        <v>16.0</v>
      </c>
      <c r="K18" s="41">
        <f t="shared" si="2"/>
        <v>2325.951389</v>
      </c>
      <c r="L18" s="80">
        <v>0.9798930324476508</v>
      </c>
      <c r="M18" s="41">
        <f t="shared" si="3"/>
        <v>2279.18356</v>
      </c>
      <c r="N18" s="8">
        <f t="shared" si="4"/>
        <v>2280</v>
      </c>
      <c r="O18" s="41">
        <f t="shared" si="5"/>
        <v>0.8164402158</v>
      </c>
    </row>
    <row r="19" ht="14.25" customHeight="1">
      <c r="B19" s="42">
        <v>17.0</v>
      </c>
      <c r="C19" s="23">
        <v>2675.0</v>
      </c>
      <c r="D19" s="14">
        <f t="shared" si="6"/>
        <v>2327</v>
      </c>
      <c r="E19" s="96">
        <f t="shared" si="7"/>
        <v>1.149548775</v>
      </c>
      <c r="I19" s="13"/>
      <c r="J19" s="8">
        <v>17.0</v>
      </c>
      <c r="K19" s="41">
        <f t="shared" si="2"/>
        <v>2325.951389</v>
      </c>
      <c r="L19" s="80">
        <v>1.146387921663884</v>
      </c>
      <c r="M19" s="41">
        <f t="shared" si="3"/>
        <v>2666.442579</v>
      </c>
      <c r="N19" s="8">
        <f t="shared" si="4"/>
        <v>2675</v>
      </c>
      <c r="O19" s="41">
        <f t="shared" si="5"/>
        <v>8.5574214</v>
      </c>
    </row>
    <row r="20" ht="14.25" customHeight="1">
      <c r="B20" s="42">
        <v>18.0</v>
      </c>
      <c r="C20" s="23">
        <v>2851.0</v>
      </c>
      <c r="D20" s="14">
        <f t="shared" si="6"/>
        <v>2333.333333</v>
      </c>
      <c r="E20" s="96">
        <f t="shared" si="7"/>
        <v>1.221857143</v>
      </c>
      <c r="I20" s="13"/>
      <c r="J20" s="8">
        <v>18.0</v>
      </c>
      <c r="K20" s="41">
        <f t="shared" si="2"/>
        <v>2325.951389</v>
      </c>
      <c r="L20" s="80">
        <v>1.2509286118423208</v>
      </c>
      <c r="M20" s="41">
        <f t="shared" si="3"/>
        <v>2909.599142</v>
      </c>
      <c r="N20" s="8">
        <f t="shared" si="4"/>
        <v>2851</v>
      </c>
      <c r="O20" s="41">
        <f t="shared" si="5"/>
        <v>-58.59914212</v>
      </c>
    </row>
    <row r="21" ht="14.25" customHeight="1">
      <c r="B21" s="42">
        <v>19.0</v>
      </c>
      <c r="C21" s="23">
        <v>2861.0</v>
      </c>
      <c r="D21" s="14">
        <f t="shared" si="6"/>
        <v>2322.111111</v>
      </c>
      <c r="E21" s="96">
        <f t="shared" si="7"/>
        <v>1.23206852</v>
      </c>
      <c r="I21" s="13"/>
      <c r="J21" s="8">
        <v>19.0</v>
      </c>
      <c r="K21" s="41">
        <f t="shared" si="2"/>
        <v>2325.951389</v>
      </c>
      <c r="L21" s="80">
        <v>1.2130698935957205</v>
      </c>
      <c r="M21" s="41">
        <f t="shared" si="3"/>
        <v>2821.541604</v>
      </c>
      <c r="N21" s="8">
        <f t="shared" si="4"/>
        <v>2861</v>
      </c>
      <c r="O21" s="41">
        <f t="shared" si="5"/>
        <v>39.45839617</v>
      </c>
    </row>
    <row r="22" ht="14.25" customHeight="1">
      <c r="B22" s="42">
        <v>20.0</v>
      </c>
      <c r="C22" s="23">
        <v>2688.0</v>
      </c>
      <c r="D22" s="14">
        <f t="shared" si="6"/>
        <v>2322.111111</v>
      </c>
      <c r="E22" s="96">
        <f t="shared" si="7"/>
        <v>1.157567348</v>
      </c>
      <c r="I22" s="13"/>
      <c r="J22" s="8">
        <v>20.0</v>
      </c>
      <c r="K22" s="41">
        <f t="shared" si="2"/>
        <v>2325.951389</v>
      </c>
      <c r="L22" s="80">
        <v>1.1543175660201621</v>
      </c>
      <c r="M22" s="41">
        <f t="shared" si="3"/>
        <v>2684.886546</v>
      </c>
      <c r="N22" s="8">
        <f t="shared" si="4"/>
        <v>2688</v>
      </c>
      <c r="O22" s="41">
        <f t="shared" si="5"/>
        <v>3.113454097</v>
      </c>
    </row>
    <row r="23" ht="14.25" customHeight="1">
      <c r="B23" s="42">
        <v>21.0</v>
      </c>
      <c r="C23" s="23">
        <v>2196.0</v>
      </c>
      <c r="D23" s="8"/>
      <c r="E23" s="8"/>
      <c r="I23" s="13"/>
      <c r="J23" s="8">
        <v>21.0</v>
      </c>
      <c r="K23" s="41">
        <f t="shared" si="2"/>
        <v>2325.951389</v>
      </c>
      <c r="L23" s="80">
        <v>0.9431549209742689</v>
      </c>
      <c r="M23" s="41">
        <f t="shared" si="3"/>
        <v>2193.732498</v>
      </c>
      <c r="N23" s="8">
        <f t="shared" si="4"/>
        <v>2196</v>
      </c>
      <c r="O23" s="41">
        <f t="shared" si="5"/>
        <v>2.267501623</v>
      </c>
    </row>
    <row r="24" ht="14.25" customHeight="1">
      <c r="B24" s="42">
        <v>22.0</v>
      </c>
      <c r="C24" s="23">
        <v>1860.0</v>
      </c>
      <c r="D24" s="8"/>
      <c r="E24" s="8"/>
      <c r="I24" s="13"/>
      <c r="J24" s="8">
        <v>22.0</v>
      </c>
      <c r="K24" s="41">
        <f t="shared" si="2"/>
        <v>2325.951389</v>
      </c>
      <c r="L24" s="80">
        <v>0.773802258162954</v>
      </c>
      <c r="M24" s="41">
        <f t="shared" si="3"/>
        <v>1799.826437</v>
      </c>
      <c r="N24" s="8">
        <f t="shared" si="4"/>
        <v>1860</v>
      </c>
      <c r="O24" s="41">
        <f t="shared" si="5"/>
        <v>60.1735629</v>
      </c>
    </row>
    <row r="25" ht="14.25" customHeight="1">
      <c r="B25" s="42">
        <v>23.0</v>
      </c>
      <c r="C25" s="23">
        <v>1568.0</v>
      </c>
      <c r="D25" s="8"/>
      <c r="E25" s="8"/>
      <c r="I25" s="13"/>
      <c r="J25" s="8">
        <v>23.0</v>
      </c>
      <c r="K25" s="41">
        <f t="shared" si="2"/>
        <v>2325.951389</v>
      </c>
      <c r="L25" s="80">
        <v>0.7208576515499387</v>
      </c>
      <c r="M25" s="41">
        <f t="shared" si="3"/>
        <v>1676.679856</v>
      </c>
      <c r="N25" s="8">
        <f t="shared" si="4"/>
        <v>1568</v>
      </c>
      <c r="O25" s="41">
        <f t="shared" si="5"/>
        <v>-108.6798558</v>
      </c>
    </row>
    <row r="26" ht="14.25" customHeight="1">
      <c r="B26" s="42">
        <v>24.0</v>
      </c>
      <c r="C26" s="23">
        <v>1920.0</v>
      </c>
      <c r="D26" s="8"/>
      <c r="E26" s="8"/>
      <c r="I26" s="13"/>
      <c r="J26" s="8">
        <v>24.0</v>
      </c>
      <c r="K26" s="41">
        <f t="shared" si="2"/>
        <v>2325.951389</v>
      </c>
      <c r="L26" s="80">
        <v>0.8173359133636763</v>
      </c>
      <c r="M26" s="41">
        <f t="shared" si="3"/>
        <v>1901.083603</v>
      </c>
      <c r="N26" s="8">
        <f t="shared" si="4"/>
        <v>1920</v>
      </c>
      <c r="O26" s="41">
        <f t="shared" si="5"/>
        <v>18.91639712</v>
      </c>
    </row>
    <row r="27" ht="14.25" customHeight="1">
      <c r="B27" s="17" t="s">
        <v>96</v>
      </c>
      <c r="C27" s="22"/>
      <c r="D27" s="14">
        <f>AVERAGE(D7:D22)</f>
        <v>2325.951389</v>
      </c>
      <c r="E27" s="8"/>
      <c r="J27" s="23">
        <v>25.0</v>
      </c>
      <c r="K27" s="41">
        <f t="shared" si="2"/>
        <v>2325.951389</v>
      </c>
      <c r="L27" s="80">
        <v>0.9798930324476508</v>
      </c>
      <c r="M27" s="41">
        <f t="shared" si="3"/>
        <v>2279.18356</v>
      </c>
    </row>
    <row r="28" ht="14.25" customHeight="1">
      <c r="J28" s="17" t="s">
        <v>27</v>
      </c>
      <c r="K28" s="3"/>
      <c r="L28" s="3"/>
      <c r="M28" s="3"/>
      <c r="N28" s="22"/>
      <c r="O28" s="41">
        <f>SUM(O2:O26)</f>
        <v>30.2978073</v>
      </c>
    </row>
    <row r="29" ht="14.25" customHeight="1">
      <c r="J29" s="17" t="s">
        <v>9</v>
      </c>
      <c r="K29" s="3"/>
      <c r="L29" s="3"/>
      <c r="M29" s="3"/>
      <c r="N29" s="22"/>
      <c r="O29" s="25"/>
    </row>
    <row r="30" ht="14.25" customHeight="1"/>
    <row r="31" ht="14.25" customHeight="1"/>
    <row r="32" ht="14.25" customHeight="1">
      <c r="A32" s="87"/>
      <c r="B32" s="87"/>
      <c r="C32" s="87"/>
      <c r="D32" s="87"/>
      <c r="E32" s="87"/>
      <c r="F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</row>
    <row r="33" ht="14.25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</row>
    <row r="34" ht="14.25" customHeight="1"/>
    <row r="35" ht="14.25" customHeight="1"/>
    <row r="36" ht="14.25" customHeight="1">
      <c r="C36" s="73" t="s">
        <v>97</v>
      </c>
      <c r="D36" s="11" t="s">
        <v>79</v>
      </c>
      <c r="E36" s="6" t="s">
        <v>80</v>
      </c>
      <c r="H36" s="10" t="s">
        <v>81</v>
      </c>
      <c r="I36" s="78"/>
      <c r="L36" s="8" t="s">
        <v>1</v>
      </c>
      <c r="M36" s="8" t="s">
        <v>82</v>
      </c>
      <c r="N36" s="73" t="s">
        <v>80</v>
      </c>
      <c r="O36" s="8" t="s">
        <v>83</v>
      </c>
      <c r="P36" s="73" t="s">
        <v>2</v>
      </c>
      <c r="Q36" s="73" t="s">
        <v>4</v>
      </c>
    </row>
    <row r="37" ht="14.25" customHeight="1">
      <c r="B37" s="40">
        <f t="array" ref="B37:B60">SEQUENCE(24,1)</f>
        <v>1</v>
      </c>
      <c r="C37" s="40">
        <v>6.0</v>
      </c>
      <c r="D37" s="8"/>
      <c r="E37" s="8"/>
      <c r="H37" s="8" t="s">
        <v>84</v>
      </c>
      <c r="I37" s="97">
        <v>0.9885699701375532</v>
      </c>
      <c r="L37" s="8">
        <f t="array" ref="L37:L55">SEQUENCE(19,1)</f>
        <v>1</v>
      </c>
      <c r="M37" s="81">
        <v>580.0</v>
      </c>
      <c r="N37" s="97" t="str">
        <f t="shared" ref="N37:N39" si="8">AVERAGE(E37,E39,E41,E43,E45,E47)</f>
        <v>#DIV/0!</v>
      </c>
      <c r="O37" s="62" t="str">
        <f t="shared" ref="O37:O55" si="9">M37*N37</f>
        <v>#DIV/0!</v>
      </c>
      <c r="P37" s="40">
        <v>598.0</v>
      </c>
      <c r="Q37" s="61" t="str">
        <f t="shared" ref="Q37:Q48" si="10">P37-O37</f>
        <v>#DIV/0!</v>
      </c>
    </row>
    <row r="38" ht="14.25" customHeight="1">
      <c r="B38" s="40">
        <v>2.0</v>
      </c>
      <c r="C38" s="40">
        <v>9.0</v>
      </c>
      <c r="D38" s="30"/>
      <c r="E38" s="90"/>
      <c r="F38" s="85"/>
      <c r="H38" s="47" t="s">
        <v>85</v>
      </c>
      <c r="I38" s="98">
        <v>0.9991611359012259</v>
      </c>
      <c r="J38" s="99"/>
      <c r="L38" s="61">
        <v>2.0</v>
      </c>
      <c r="M38" s="81">
        <v>580.0</v>
      </c>
      <c r="N38" s="97" t="str">
        <f t="shared" si="8"/>
        <v>#DIV/0!</v>
      </c>
      <c r="O38" s="62" t="str">
        <f t="shared" si="9"/>
        <v>#DIV/0!</v>
      </c>
      <c r="P38" s="40">
        <v>648.0</v>
      </c>
      <c r="Q38" s="61" t="str">
        <f t="shared" si="10"/>
        <v>#DIV/0!</v>
      </c>
    </row>
    <row r="39" ht="14.25" customHeight="1">
      <c r="B39" s="40">
        <v>3.0</v>
      </c>
      <c r="C39" s="40">
        <v>8.0</v>
      </c>
      <c r="D39" s="30"/>
      <c r="E39" s="90"/>
      <c r="F39" s="85"/>
      <c r="H39" s="34"/>
      <c r="I39" s="100"/>
      <c r="L39" s="61">
        <v>3.0</v>
      </c>
      <c r="M39" s="81">
        <v>580.0</v>
      </c>
      <c r="N39" s="97" t="str">
        <f t="shared" si="8"/>
        <v>#DIV/0!</v>
      </c>
      <c r="O39" s="62" t="str">
        <f t="shared" si="9"/>
        <v>#DIV/0!</v>
      </c>
      <c r="P39" s="40">
        <v>556.0</v>
      </c>
      <c r="Q39" s="61" t="str">
        <f t="shared" si="10"/>
        <v>#DIV/0!</v>
      </c>
    </row>
    <row r="40" ht="14.25" customHeight="1">
      <c r="B40" s="40">
        <v>4.0</v>
      </c>
      <c r="C40" s="40">
        <v>10.0</v>
      </c>
      <c r="D40" s="30"/>
      <c r="E40" s="90"/>
      <c r="F40" s="85"/>
      <c r="H40" s="13"/>
      <c r="I40" s="82"/>
      <c r="L40" s="61">
        <v>4.0</v>
      </c>
      <c r="M40" s="81">
        <v>580.0</v>
      </c>
      <c r="N40" s="97" t="str">
        <f>AVERAGE(E38,E40,E42,E44,E46,E48)</f>
        <v>#DIV/0!</v>
      </c>
      <c r="O40" s="62" t="str">
        <f t="shared" si="9"/>
        <v>#DIV/0!</v>
      </c>
      <c r="P40" s="40">
        <v>522.0</v>
      </c>
      <c r="Q40" s="61" t="str">
        <f t="shared" si="10"/>
        <v>#DIV/0!</v>
      </c>
    </row>
    <row r="41" ht="14.25" customHeight="1">
      <c r="B41" s="40">
        <v>5.0</v>
      </c>
      <c r="C41" s="40">
        <v>9.0</v>
      </c>
      <c r="D41" s="30"/>
      <c r="E41" s="90"/>
      <c r="F41" s="86"/>
      <c r="H41" s="13"/>
      <c r="I41" s="82"/>
      <c r="L41" s="61">
        <v>5.0</v>
      </c>
      <c r="M41" s="81">
        <v>580.0</v>
      </c>
      <c r="N41" s="101">
        <v>0.9886</v>
      </c>
      <c r="O41" s="62">
        <f t="shared" si="9"/>
        <v>573.388</v>
      </c>
      <c r="P41" s="40">
        <v>604.0</v>
      </c>
      <c r="Q41" s="62">
        <f t="shared" si="10"/>
        <v>30.612</v>
      </c>
    </row>
    <row r="42" ht="14.25" customHeight="1">
      <c r="B42" s="40">
        <v>6.0</v>
      </c>
      <c r="C42" s="40">
        <v>13.0</v>
      </c>
      <c r="D42" s="31"/>
      <c r="E42" s="90"/>
      <c r="F42" s="86"/>
      <c r="H42" s="13"/>
      <c r="I42" s="82"/>
      <c r="L42" s="61">
        <v>6.0</v>
      </c>
      <c r="M42" s="81">
        <v>580.0</v>
      </c>
      <c r="N42" s="97" t="str">
        <f>AVERAGE(E38,E40,E42,E44,E46,E48)</f>
        <v>#DIV/0!</v>
      </c>
      <c r="O42" s="62" t="str">
        <f t="shared" si="9"/>
        <v>#DIV/0!</v>
      </c>
      <c r="P42" s="40">
        <v>615.0</v>
      </c>
      <c r="Q42" s="61" t="str">
        <f t="shared" si="10"/>
        <v>#DIV/0!</v>
      </c>
    </row>
    <row r="43" ht="14.25" customHeight="1">
      <c r="B43" s="40">
        <v>7.0</v>
      </c>
      <c r="C43" s="40">
        <v>13.0</v>
      </c>
      <c r="D43" s="30"/>
      <c r="E43" s="90"/>
      <c r="F43" s="86"/>
      <c r="H43" s="13"/>
      <c r="I43" s="82"/>
      <c r="L43" s="61">
        <v>7.0</v>
      </c>
      <c r="M43" s="81">
        <v>580.0</v>
      </c>
      <c r="N43" s="101">
        <v>0.9886</v>
      </c>
      <c r="O43" s="62">
        <f t="shared" si="9"/>
        <v>573.388</v>
      </c>
      <c r="P43" s="40">
        <v>551.0</v>
      </c>
      <c r="Q43" s="62">
        <f t="shared" si="10"/>
        <v>-22.388</v>
      </c>
    </row>
    <row r="44" ht="14.25" customHeight="1">
      <c r="B44" s="40">
        <v>8.0</v>
      </c>
      <c r="C44" s="40">
        <v>16.0</v>
      </c>
      <c r="D44" s="30"/>
      <c r="E44" s="90"/>
      <c r="F44" s="86"/>
      <c r="H44" s="13"/>
      <c r="I44" s="82"/>
      <c r="J44" s="82"/>
      <c r="L44" s="61">
        <v>8.0</v>
      </c>
      <c r="M44" s="81">
        <v>580.0</v>
      </c>
      <c r="N44" s="97" t="str">
        <f>AVERAGE(E38,E40,E42,E44,E46,E48)</f>
        <v>#DIV/0!</v>
      </c>
      <c r="O44" s="62" t="str">
        <f t="shared" si="9"/>
        <v>#DIV/0!</v>
      </c>
      <c r="P44" s="40">
        <v>525.0</v>
      </c>
      <c r="Q44" s="61" t="str">
        <f t="shared" si="10"/>
        <v>#DIV/0!</v>
      </c>
    </row>
    <row r="45" ht="14.25" customHeight="1">
      <c r="B45" s="40">
        <v>9.0</v>
      </c>
      <c r="C45" s="40">
        <v>19.0</v>
      </c>
      <c r="D45" s="30"/>
      <c r="E45" s="90"/>
      <c r="F45" s="86"/>
      <c r="H45" s="13"/>
      <c r="I45" s="82"/>
      <c r="J45" s="82"/>
      <c r="L45" s="61">
        <v>9.0</v>
      </c>
      <c r="M45" s="81">
        <v>580.0</v>
      </c>
      <c r="N45" s="101">
        <v>0.9886</v>
      </c>
      <c r="O45" s="62">
        <f t="shared" si="9"/>
        <v>573.388</v>
      </c>
      <c r="P45" s="40">
        <v>583.0</v>
      </c>
      <c r="Q45" s="62">
        <f t="shared" si="10"/>
        <v>9.612</v>
      </c>
    </row>
    <row r="46" ht="14.25" customHeight="1">
      <c r="B46" s="40">
        <v>10.0</v>
      </c>
      <c r="C46" s="40">
        <v>20.0</v>
      </c>
      <c r="D46" s="31"/>
      <c r="E46" s="90" t="str">
        <f t="shared" ref="E46:E48" si="11">C46/D46</f>
        <v>#DIV/0!</v>
      </c>
      <c r="F46" s="85"/>
      <c r="I46" s="82"/>
      <c r="J46" s="82"/>
      <c r="L46" s="61">
        <v>10.0</v>
      </c>
      <c r="M46" s="81">
        <v>580.0</v>
      </c>
      <c r="N46" s="97" t="str">
        <f>AVERAGE(E38,E40,E42,E44,E46,E48)</f>
        <v>#DIV/0!</v>
      </c>
      <c r="O46" s="62" t="str">
        <f t="shared" si="9"/>
        <v>#DIV/0!</v>
      </c>
      <c r="P46" s="40">
        <v>618.0</v>
      </c>
      <c r="Q46" s="61" t="str">
        <f t="shared" si="10"/>
        <v>#DIV/0!</v>
      </c>
    </row>
    <row r="47" ht="14.25" customHeight="1">
      <c r="B47" s="40">
        <v>11.0</v>
      </c>
      <c r="C47" s="40">
        <v>22.0</v>
      </c>
      <c r="D47" s="30"/>
      <c r="E47" s="90" t="str">
        <f t="shared" si="11"/>
        <v>#DIV/0!</v>
      </c>
      <c r="F47" s="85"/>
      <c r="I47" s="82"/>
      <c r="J47" s="82"/>
      <c r="L47" s="61">
        <v>11.0</v>
      </c>
      <c r="M47" s="81">
        <v>580.0</v>
      </c>
      <c r="N47" s="101">
        <v>0.9886</v>
      </c>
      <c r="O47" s="62">
        <f t="shared" si="9"/>
        <v>573.388</v>
      </c>
      <c r="P47" s="40">
        <v>558.0</v>
      </c>
      <c r="Q47" s="62">
        <f t="shared" si="10"/>
        <v>-15.388</v>
      </c>
    </row>
    <row r="48" ht="14.25" customHeight="1">
      <c r="B48" s="40">
        <v>12.0</v>
      </c>
      <c r="C48" s="40">
        <v>25.0</v>
      </c>
      <c r="D48" s="30"/>
      <c r="E48" s="90" t="str">
        <f t="shared" si="11"/>
        <v>#DIV/0!</v>
      </c>
      <c r="F48" s="85"/>
      <c r="L48" s="61">
        <v>12.0</v>
      </c>
      <c r="M48" s="81">
        <v>580.0</v>
      </c>
      <c r="N48" s="97" t="str">
        <f>AVERAGE(E38,E40,E42,E44,E46,E48)</f>
        <v>#DIV/0!</v>
      </c>
      <c r="O48" s="62" t="str">
        <f t="shared" si="9"/>
        <v>#DIV/0!</v>
      </c>
      <c r="P48" s="40">
        <v>528.0</v>
      </c>
      <c r="Q48" s="61" t="str">
        <f t="shared" si="10"/>
        <v>#DIV/0!</v>
      </c>
    </row>
    <row r="49" ht="14.25" customHeight="1">
      <c r="B49" s="40">
        <v>13.0</v>
      </c>
      <c r="C49" s="40">
        <v>8.0</v>
      </c>
      <c r="D49" s="30"/>
      <c r="L49" s="61">
        <v>13.0</v>
      </c>
      <c r="M49" s="81">
        <v>580.0</v>
      </c>
      <c r="N49" s="101">
        <v>0.9886</v>
      </c>
      <c r="O49" s="62">
        <f t="shared" si="9"/>
        <v>573.388</v>
      </c>
      <c r="P49" s="61"/>
      <c r="Q49" s="61"/>
    </row>
    <row r="50" ht="14.25" customHeight="1">
      <c r="B50" s="73">
        <v>14.0</v>
      </c>
      <c r="C50" s="73">
        <v>6.0</v>
      </c>
      <c r="D50" s="30"/>
      <c r="L50" s="61">
        <v>14.0</v>
      </c>
      <c r="M50" s="81">
        <v>580.0</v>
      </c>
      <c r="N50" s="101">
        <v>0.9992</v>
      </c>
      <c r="O50" s="62">
        <f t="shared" si="9"/>
        <v>579.536</v>
      </c>
      <c r="P50" s="61"/>
      <c r="Q50" s="61"/>
    </row>
    <row r="51" ht="14.25" customHeight="1">
      <c r="B51" s="73">
        <v>15.0</v>
      </c>
      <c r="C51" s="73">
        <v>10.0</v>
      </c>
      <c r="D51" s="30"/>
      <c r="L51" s="61">
        <v>15.0</v>
      </c>
      <c r="M51" s="81">
        <v>580.0</v>
      </c>
      <c r="N51" s="101">
        <v>0.9886</v>
      </c>
      <c r="O51" s="62">
        <f t="shared" si="9"/>
        <v>573.388</v>
      </c>
      <c r="P51" s="61"/>
      <c r="Q51" s="61"/>
    </row>
    <row r="52" ht="14.25" customHeight="1">
      <c r="B52" s="73">
        <v>16.0</v>
      </c>
      <c r="C52" s="73">
        <v>12.0</v>
      </c>
      <c r="D52" s="30"/>
      <c r="L52" s="61">
        <v>16.0</v>
      </c>
      <c r="M52" s="81">
        <v>580.0</v>
      </c>
      <c r="N52" s="101">
        <v>0.9992</v>
      </c>
      <c r="O52" s="62">
        <f t="shared" si="9"/>
        <v>579.536</v>
      </c>
      <c r="P52" s="61"/>
      <c r="Q52" s="61"/>
    </row>
    <row r="53" ht="14.25" customHeight="1">
      <c r="B53" s="73">
        <v>17.0</v>
      </c>
      <c r="C53" s="73">
        <v>14.0</v>
      </c>
      <c r="D53" s="30"/>
      <c r="L53" s="61">
        <v>17.0</v>
      </c>
      <c r="M53" s="81">
        <v>580.0</v>
      </c>
      <c r="N53" s="101">
        <v>0.9886</v>
      </c>
      <c r="O53" s="62">
        <f t="shared" si="9"/>
        <v>573.388</v>
      </c>
      <c r="P53" s="61"/>
      <c r="Q53" s="61"/>
    </row>
    <row r="54" ht="14.25" customHeight="1">
      <c r="B54" s="73">
        <v>18.0</v>
      </c>
      <c r="C54" s="73">
        <v>15.0</v>
      </c>
      <c r="D54" s="30"/>
      <c r="L54" s="61">
        <v>18.0</v>
      </c>
      <c r="M54" s="81">
        <v>580.0</v>
      </c>
      <c r="N54" s="101">
        <v>0.9992</v>
      </c>
      <c r="O54" s="62">
        <f t="shared" si="9"/>
        <v>579.536</v>
      </c>
      <c r="P54" s="61"/>
      <c r="Q54" s="61"/>
    </row>
    <row r="55" ht="14.25" customHeight="1">
      <c r="B55" s="73">
        <v>19.0</v>
      </c>
      <c r="C55" s="73">
        <v>18.0</v>
      </c>
      <c r="D55" s="30"/>
      <c r="L55" s="61">
        <v>19.0</v>
      </c>
      <c r="M55" s="81">
        <v>580.0</v>
      </c>
      <c r="N55" s="102">
        <v>0.9886</v>
      </c>
      <c r="O55" s="62">
        <f t="shared" si="9"/>
        <v>573.388</v>
      </c>
      <c r="P55" s="61"/>
      <c r="Q55" s="61"/>
    </row>
    <row r="56" ht="14.25" customHeight="1">
      <c r="B56" s="73">
        <v>20.0</v>
      </c>
      <c r="C56" s="73">
        <v>18.0</v>
      </c>
      <c r="D56" s="30"/>
      <c r="N56" s="103"/>
    </row>
    <row r="57" ht="14.25" customHeight="1">
      <c r="B57" s="73">
        <v>21.0</v>
      </c>
      <c r="C57" s="73">
        <v>21.0</v>
      </c>
      <c r="D57" s="30"/>
    </row>
    <row r="58" ht="14.25" customHeight="1">
      <c r="B58" s="73">
        <v>22.0</v>
      </c>
      <c r="C58" s="73">
        <v>22.0</v>
      </c>
      <c r="D58" s="30"/>
    </row>
    <row r="59" ht="14.25" customHeight="1">
      <c r="B59" s="73">
        <v>23.0</v>
      </c>
      <c r="C59" s="73">
        <v>23.0</v>
      </c>
      <c r="D59" s="30"/>
    </row>
    <row r="60" ht="14.25" customHeight="1">
      <c r="B60" s="73">
        <v>24.0</v>
      </c>
      <c r="C60" s="73">
        <v>27.0</v>
      </c>
      <c r="D60" s="30"/>
    </row>
    <row r="61" ht="14.25" customHeight="1">
      <c r="B61" s="17" t="s">
        <v>96</v>
      </c>
      <c r="C61" s="22"/>
      <c r="D61" s="14" t="str">
        <f>AVERAGE(D38:D44)</f>
        <v>#DIV/0!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1:E1"/>
    <mergeCell ref="G1:H1"/>
    <mergeCell ref="J1:O1"/>
    <mergeCell ref="B27:C27"/>
    <mergeCell ref="J28:N28"/>
    <mergeCell ref="J29:N29"/>
    <mergeCell ref="H36:I36"/>
    <mergeCell ref="B61:C61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  <col customWidth="1" min="14" max="14" width="25.43"/>
    <col customWidth="1" min="15" max="15" width="13.0"/>
    <col customWidth="1" min="16" max="16" width="8.71"/>
    <col customWidth="1" min="17" max="17" width="11.14"/>
    <col customWidth="1" min="18" max="24" width="8.71"/>
  </cols>
  <sheetData>
    <row r="1" ht="14.25" customHeight="1">
      <c r="B1" s="10" t="s">
        <v>76</v>
      </c>
      <c r="C1" s="77"/>
      <c r="D1" s="77"/>
      <c r="E1" s="78"/>
      <c r="F1" s="13"/>
      <c r="G1" s="104" t="s">
        <v>100</v>
      </c>
      <c r="H1" s="77"/>
      <c r="I1" s="78"/>
      <c r="J1" s="13"/>
      <c r="M1" s="13"/>
      <c r="N1" s="10" t="s">
        <v>101</v>
      </c>
      <c r="O1" s="77"/>
      <c r="P1" s="77"/>
      <c r="Q1" s="77"/>
      <c r="R1" s="77"/>
      <c r="S1" s="78"/>
      <c r="T1" s="12"/>
      <c r="U1" s="13"/>
    </row>
    <row r="2" ht="14.25" customHeight="1">
      <c r="B2" s="6" t="s">
        <v>1</v>
      </c>
      <c r="C2" s="6" t="s">
        <v>2</v>
      </c>
      <c r="D2" s="43" t="s">
        <v>102</v>
      </c>
      <c r="E2" s="6" t="s">
        <v>80</v>
      </c>
      <c r="F2" s="13"/>
      <c r="G2" s="6" t="s">
        <v>1</v>
      </c>
      <c r="H2" s="6" t="s">
        <v>99</v>
      </c>
      <c r="I2" s="6" t="s">
        <v>80</v>
      </c>
      <c r="J2" s="13"/>
      <c r="M2" s="13"/>
      <c r="N2" s="6" t="s">
        <v>1</v>
      </c>
      <c r="O2" s="104" t="s">
        <v>103</v>
      </c>
      <c r="P2" s="105" t="s">
        <v>104</v>
      </c>
      <c r="Q2" s="42" t="s">
        <v>105</v>
      </c>
      <c r="R2" s="6" t="s">
        <v>106</v>
      </c>
      <c r="S2" s="23" t="s">
        <v>32</v>
      </c>
      <c r="T2" s="12"/>
      <c r="U2" s="13"/>
    </row>
    <row r="3" ht="14.25" customHeight="1">
      <c r="B3" s="8">
        <v>1.0</v>
      </c>
      <c r="C3" s="106">
        <v>3.0</v>
      </c>
      <c r="D3" s="14"/>
      <c r="E3" s="79"/>
      <c r="F3" s="13"/>
      <c r="G3" s="8">
        <v>1.0</v>
      </c>
      <c r="H3" s="106">
        <v>3.0</v>
      </c>
      <c r="J3" s="13"/>
      <c r="M3" s="13"/>
      <c r="N3" s="8">
        <v>1.0</v>
      </c>
      <c r="O3" s="106">
        <v>3.0</v>
      </c>
      <c r="P3" s="107"/>
      <c r="Q3" s="30"/>
      <c r="R3" s="79"/>
      <c r="S3" s="19">
        <f>O3*R3</f>
        <v>0</v>
      </c>
      <c r="T3" s="12"/>
      <c r="U3" s="13"/>
    </row>
    <row r="4" ht="14.25" customHeight="1">
      <c r="B4" s="8">
        <v>2.0</v>
      </c>
      <c r="C4" s="106">
        <v>9.0</v>
      </c>
      <c r="D4" s="79">
        <f t="shared" ref="D4:D16" si="1">AVERAGE(C3:C5)</f>
        <v>5.666666667</v>
      </c>
      <c r="E4" s="79">
        <f t="shared" ref="E4:E16" si="2">C4/D4</f>
        <v>1.588235294</v>
      </c>
      <c r="F4" s="13"/>
      <c r="G4" s="8">
        <v>2.0</v>
      </c>
      <c r="H4" s="106">
        <v>9.0</v>
      </c>
      <c r="I4" s="79">
        <f>($E$4+$E$7+$E$10+$E$13+$E$16)/5</f>
        <v>1.569556934</v>
      </c>
      <c r="J4" s="13"/>
      <c r="M4" s="13"/>
      <c r="N4" s="8">
        <v>2.0</v>
      </c>
      <c r="O4" s="106">
        <v>9.0</v>
      </c>
      <c r="P4" s="79">
        <f t="shared" ref="P4:P16" si="3">AVERAGE(O3:O5)</f>
        <v>5.666666667</v>
      </c>
      <c r="Q4" s="79">
        <f>($E$4+$E$7+$E$10+$E$13+$E$16)/5</f>
        <v>1.569556934</v>
      </c>
      <c r="R4" s="79">
        <f t="shared" ref="R4:R18" si="4">Q4*P4</f>
        <v>8.894155958</v>
      </c>
      <c r="S4" s="108">
        <f t="shared" ref="S4:S17" si="5">R4-O4</f>
        <v>-0.1058440415</v>
      </c>
      <c r="T4" s="12"/>
      <c r="U4" s="13"/>
    </row>
    <row r="5" ht="14.25" customHeight="1">
      <c r="B5" s="40">
        <v>3.0</v>
      </c>
      <c r="C5" s="106">
        <v>5.0</v>
      </c>
      <c r="D5" s="79">
        <f t="shared" si="1"/>
        <v>5.666666667</v>
      </c>
      <c r="E5" s="79">
        <f t="shared" si="2"/>
        <v>0.8823529412</v>
      </c>
      <c r="F5" s="13"/>
      <c r="G5" s="8">
        <v>3.0</v>
      </c>
      <c r="H5" s="106">
        <v>5.0</v>
      </c>
      <c r="I5" s="79">
        <f>($E$5+$E$8+$E$11+$E$14)/4</f>
        <v>0.9124854685</v>
      </c>
      <c r="J5" s="13"/>
      <c r="M5" s="13"/>
      <c r="N5" s="8">
        <v>3.0</v>
      </c>
      <c r="O5" s="106">
        <v>5.0</v>
      </c>
      <c r="P5" s="79">
        <f t="shared" si="3"/>
        <v>5.666666667</v>
      </c>
      <c r="Q5" s="79">
        <f>($E$5+$E$8+$E$11+$E$14)/4</f>
        <v>0.9124854685</v>
      </c>
      <c r="R5" s="79">
        <f t="shared" si="4"/>
        <v>5.170750988</v>
      </c>
      <c r="S5" s="108">
        <f t="shared" si="5"/>
        <v>0.1707509881</v>
      </c>
      <c r="T5" s="12"/>
      <c r="U5" s="13"/>
    </row>
    <row r="6" ht="14.25" customHeight="1">
      <c r="B6" s="40">
        <v>4.0</v>
      </c>
      <c r="C6" s="106">
        <v>3.0</v>
      </c>
      <c r="D6" s="79">
        <f t="shared" si="1"/>
        <v>6</v>
      </c>
      <c r="E6" s="79">
        <f t="shared" si="2"/>
        <v>0.5</v>
      </c>
      <c r="F6" s="13"/>
      <c r="G6" s="8">
        <v>4.0</v>
      </c>
      <c r="H6" s="106">
        <v>3.0</v>
      </c>
      <c r="I6" s="79">
        <f>($E$6+$E$9+$E$12+$E$15)/4</f>
        <v>0.5182919255</v>
      </c>
      <c r="J6" s="13"/>
      <c r="M6" s="13"/>
      <c r="N6" s="8">
        <v>4.0</v>
      </c>
      <c r="O6" s="106">
        <v>3.0</v>
      </c>
      <c r="P6" s="79">
        <f t="shared" si="3"/>
        <v>6</v>
      </c>
      <c r="Q6" s="79">
        <f>($E$6+$E$9+$E$12+$E$15)/4</f>
        <v>0.5182919255</v>
      </c>
      <c r="R6" s="79">
        <f t="shared" si="4"/>
        <v>3.109751553</v>
      </c>
      <c r="S6" s="108">
        <f t="shared" si="5"/>
        <v>0.1097515528</v>
      </c>
      <c r="T6" s="12"/>
      <c r="U6" s="13"/>
    </row>
    <row r="7" ht="14.25" customHeight="1">
      <c r="B7" s="8">
        <v>5.0</v>
      </c>
      <c r="C7" s="106">
        <v>10.0</v>
      </c>
      <c r="D7" s="79">
        <f t="shared" si="1"/>
        <v>6.333333333</v>
      </c>
      <c r="E7" s="79">
        <f t="shared" si="2"/>
        <v>1.578947368</v>
      </c>
      <c r="F7" s="13"/>
      <c r="G7" s="8">
        <v>5.0</v>
      </c>
      <c r="H7" s="106">
        <v>10.0</v>
      </c>
      <c r="I7" s="79">
        <f>($E$4+$E$7+$E$10+$E$13+$E$16)/5</f>
        <v>1.569556934</v>
      </c>
      <c r="J7" s="13"/>
      <c r="M7" s="13"/>
      <c r="N7" s="8">
        <v>5.0</v>
      </c>
      <c r="O7" s="106">
        <v>10.0</v>
      </c>
      <c r="P7" s="79">
        <f t="shared" si="3"/>
        <v>6.333333333</v>
      </c>
      <c r="Q7" s="79">
        <f>($E$4+$E$7+$E$10+$E$13+$E$16)/5</f>
        <v>1.569556934</v>
      </c>
      <c r="R7" s="79">
        <f t="shared" si="4"/>
        <v>9.940527248</v>
      </c>
      <c r="S7" s="108">
        <f t="shared" si="5"/>
        <v>-0.05947275231</v>
      </c>
      <c r="T7" s="12"/>
      <c r="U7" s="13"/>
    </row>
    <row r="8" ht="14.25" customHeight="1">
      <c r="B8" s="8">
        <v>6.0</v>
      </c>
      <c r="C8" s="106">
        <v>6.0</v>
      </c>
      <c r="D8" s="79">
        <f t="shared" si="1"/>
        <v>6.666666667</v>
      </c>
      <c r="E8" s="79">
        <f t="shared" si="2"/>
        <v>0.9</v>
      </c>
      <c r="F8" s="13"/>
      <c r="G8" s="8">
        <v>6.0</v>
      </c>
      <c r="H8" s="106">
        <v>6.0</v>
      </c>
      <c r="I8" s="79">
        <f>($E$5+$E$8+$E$11+$E$14)/4</f>
        <v>0.9124854685</v>
      </c>
      <c r="J8" s="13"/>
      <c r="M8" s="13"/>
      <c r="N8" s="8">
        <v>6.0</v>
      </c>
      <c r="O8" s="106">
        <v>6.0</v>
      </c>
      <c r="P8" s="79">
        <f t="shared" si="3"/>
        <v>6.666666667</v>
      </c>
      <c r="Q8" s="79">
        <f>($E$5+$E$8+$E$11+$E$14)/4</f>
        <v>0.9124854685</v>
      </c>
      <c r="R8" s="79">
        <f t="shared" si="4"/>
        <v>6.083236457</v>
      </c>
      <c r="S8" s="108">
        <f t="shared" si="5"/>
        <v>0.08323645664</v>
      </c>
      <c r="T8" s="12"/>
      <c r="U8" s="13"/>
    </row>
    <row r="9" ht="14.25" customHeight="1">
      <c r="B9" s="40">
        <v>7.0</v>
      </c>
      <c r="C9" s="106">
        <v>4.0</v>
      </c>
      <c r="D9" s="79">
        <f t="shared" si="1"/>
        <v>7</v>
      </c>
      <c r="E9" s="79">
        <f t="shared" si="2"/>
        <v>0.5714285714</v>
      </c>
      <c r="F9" s="13"/>
      <c r="G9" s="8">
        <v>7.0</v>
      </c>
      <c r="H9" s="106">
        <v>4.0</v>
      </c>
      <c r="I9" s="79">
        <f>($E$6+$E$9+$E$12+$E$15)/4</f>
        <v>0.5182919255</v>
      </c>
      <c r="J9" s="13"/>
      <c r="M9" s="13"/>
      <c r="N9" s="8">
        <v>7.0</v>
      </c>
      <c r="O9" s="106">
        <v>4.0</v>
      </c>
      <c r="P9" s="79">
        <f t="shared" si="3"/>
        <v>7</v>
      </c>
      <c r="Q9" s="79">
        <f>($E$6+$E$9+$E$12+$E$15)/4</f>
        <v>0.5182919255</v>
      </c>
      <c r="R9" s="79">
        <f t="shared" si="4"/>
        <v>3.628043478</v>
      </c>
      <c r="S9" s="108">
        <f t="shared" si="5"/>
        <v>-0.3719565217</v>
      </c>
      <c r="T9" s="12"/>
      <c r="U9" s="13"/>
    </row>
    <row r="10" ht="14.25" customHeight="1">
      <c r="B10" s="40">
        <v>8.0</v>
      </c>
      <c r="C10" s="106">
        <v>11.0</v>
      </c>
      <c r="D10" s="79">
        <f t="shared" si="1"/>
        <v>7.333333333</v>
      </c>
      <c r="E10" s="79">
        <f t="shared" si="2"/>
        <v>1.5</v>
      </c>
      <c r="F10" s="13"/>
      <c r="G10" s="8">
        <v>8.0</v>
      </c>
      <c r="H10" s="106">
        <v>11.0</v>
      </c>
      <c r="I10" s="79">
        <f>($E$4+$E$7+$E$10+$E$13+$E$16)/5</f>
        <v>1.569556934</v>
      </c>
      <c r="J10" s="13"/>
      <c r="M10" s="13"/>
      <c r="N10" s="8">
        <v>8.0</v>
      </c>
      <c r="O10" s="106">
        <v>11.0</v>
      </c>
      <c r="P10" s="79">
        <f t="shared" si="3"/>
        <v>7.333333333</v>
      </c>
      <c r="Q10" s="79">
        <f>($E$4+$E$7+$E$10+$E$13+$E$16)/5</f>
        <v>1.569556934</v>
      </c>
      <c r="R10" s="79">
        <f t="shared" si="4"/>
        <v>11.51008418</v>
      </c>
      <c r="S10" s="108">
        <f t="shared" si="5"/>
        <v>0.5100841815</v>
      </c>
      <c r="T10" s="12"/>
      <c r="U10" s="13"/>
    </row>
    <row r="11" ht="14.25" customHeight="1">
      <c r="B11" s="8">
        <v>9.0</v>
      </c>
      <c r="C11" s="106">
        <v>7.0</v>
      </c>
      <c r="D11" s="79">
        <f t="shared" si="1"/>
        <v>7.333333333</v>
      </c>
      <c r="E11" s="79">
        <f t="shared" si="2"/>
        <v>0.9545454545</v>
      </c>
      <c r="F11" s="13"/>
      <c r="G11" s="8">
        <v>9.0</v>
      </c>
      <c r="H11" s="106">
        <v>7.0</v>
      </c>
      <c r="I11" s="79">
        <f>($E$5+$E$8+$E$11+$E$14)/4</f>
        <v>0.9124854685</v>
      </c>
      <c r="J11" s="13"/>
      <c r="M11" s="13"/>
      <c r="N11" s="8">
        <v>9.0</v>
      </c>
      <c r="O11" s="106">
        <v>7.0</v>
      </c>
      <c r="P11" s="79">
        <f t="shared" si="3"/>
        <v>7.333333333</v>
      </c>
      <c r="Q11" s="79">
        <f>($E$5+$E$8+$E$11+$E$14)/4</f>
        <v>0.9124854685</v>
      </c>
      <c r="R11" s="79">
        <f t="shared" si="4"/>
        <v>6.691560102</v>
      </c>
      <c r="S11" s="108">
        <f t="shared" si="5"/>
        <v>-0.3084398977</v>
      </c>
      <c r="T11" s="12"/>
      <c r="U11" s="13"/>
    </row>
    <row r="12" ht="14.25" customHeight="1">
      <c r="B12" s="8">
        <v>10.0</v>
      </c>
      <c r="C12" s="106">
        <v>4.0</v>
      </c>
      <c r="D12" s="79">
        <f t="shared" si="1"/>
        <v>7.666666667</v>
      </c>
      <c r="E12" s="79">
        <f t="shared" si="2"/>
        <v>0.5217391304</v>
      </c>
      <c r="F12" s="13"/>
      <c r="G12" s="8">
        <v>10.0</v>
      </c>
      <c r="H12" s="106">
        <v>4.0</v>
      </c>
      <c r="I12" s="79">
        <f>($E$6+$E$9+$E$12+$E$15)/4</f>
        <v>0.5182919255</v>
      </c>
      <c r="J12" s="13"/>
      <c r="M12" s="13"/>
      <c r="N12" s="8">
        <v>10.0</v>
      </c>
      <c r="O12" s="106">
        <v>4.0</v>
      </c>
      <c r="P12" s="79">
        <f t="shared" si="3"/>
        <v>7.666666667</v>
      </c>
      <c r="Q12" s="79">
        <f>($E$6+$E$9+$E$12+$E$15)/4</f>
        <v>0.5182919255</v>
      </c>
      <c r="R12" s="79">
        <f t="shared" si="4"/>
        <v>3.973571429</v>
      </c>
      <c r="S12" s="108">
        <f t="shared" si="5"/>
        <v>-0.02642857143</v>
      </c>
      <c r="T12" s="12"/>
      <c r="U12" s="13"/>
    </row>
    <row r="13" ht="14.25" customHeight="1">
      <c r="B13" s="40">
        <v>11.0</v>
      </c>
      <c r="C13" s="106">
        <v>12.0</v>
      </c>
      <c r="D13" s="79">
        <f t="shared" si="1"/>
        <v>7.666666667</v>
      </c>
      <c r="E13" s="79">
        <f t="shared" si="2"/>
        <v>1.565217391</v>
      </c>
      <c r="F13" s="13"/>
      <c r="G13" s="8">
        <v>11.0</v>
      </c>
      <c r="H13" s="106">
        <v>12.0</v>
      </c>
      <c r="I13" s="79">
        <f>($E$4+$E$7+$E$10+$E$13+$E$16)/5</f>
        <v>1.569556934</v>
      </c>
      <c r="J13" s="13"/>
      <c r="M13" s="13"/>
      <c r="N13" s="8">
        <v>11.0</v>
      </c>
      <c r="O13" s="106">
        <v>12.0</v>
      </c>
      <c r="P13" s="79">
        <f t="shared" si="3"/>
        <v>7.666666667</v>
      </c>
      <c r="Q13" s="79">
        <f>($E$4+$E$7+$E$10+$E$13+$E$16)/5</f>
        <v>1.569556934</v>
      </c>
      <c r="R13" s="79">
        <f t="shared" si="4"/>
        <v>12.03326983</v>
      </c>
      <c r="S13" s="108">
        <f t="shared" si="5"/>
        <v>0.03326982615</v>
      </c>
      <c r="T13" s="12"/>
      <c r="U13" s="13"/>
    </row>
    <row r="14" ht="14.25" customHeight="1">
      <c r="B14" s="40">
        <v>12.0</v>
      </c>
      <c r="C14" s="106">
        <v>7.0</v>
      </c>
      <c r="D14" s="79">
        <f t="shared" si="1"/>
        <v>7.666666667</v>
      </c>
      <c r="E14" s="79">
        <f t="shared" si="2"/>
        <v>0.9130434783</v>
      </c>
      <c r="F14" s="13"/>
      <c r="G14" s="8">
        <v>12.0</v>
      </c>
      <c r="H14" s="106">
        <v>7.0</v>
      </c>
      <c r="I14" s="79">
        <f>($E$5+$E$8+$E$11+$E$14)/4</f>
        <v>0.9124854685</v>
      </c>
      <c r="J14" s="13"/>
      <c r="K14" s="13"/>
      <c r="L14" s="13"/>
      <c r="M14" s="13"/>
      <c r="N14" s="8">
        <v>12.0</v>
      </c>
      <c r="O14" s="106">
        <v>7.0</v>
      </c>
      <c r="P14" s="79">
        <f t="shared" si="3"/>
        <v>7.666666667</v>
      </c>
      <c r="Q14" s="79">
        <f>($E$5+$E$8+$E$11+$E$14)/4</f>
        <v>0.9124854685</v>
      </c>
      <c r="R14" s="79">
        <f t="shared" si="4"/>
        <v>6.995721925</v>
      </c>
      <c r="S14" s="108">
        <f t="shared" si="5"/>
        <v>-0.004278074866</v>
      </c>
      <c r="T14" s="12"/>
      <c r="U14" s="13"/>
    </row>
    <row r="15" ht="14.25" customHeight="1">
      <c r="B15" s="8">
        <v>13.0</v>
      </c>
      <c r="C15" s="106">
        <v>4.0</v>
      </c>
      <c r="D15" s="79">
        <f t="shared" si="1"/>
        <v>8.333333333</v>
      </c>
      <c r="E15" s="79">
        <f t="shared" si="2"/>
        <v>0.48</v>
      </c>
      <c r="F15" s="13"/>
      <c r="G15" s="8">
        <v>13.0</v>
      </c>
      <c r="H15" s="106">
        <v>4.0</v>
      </c>
      <c r="I15" s="79">
        <f>($E$6+$E$9+$E$12+$E$15)/4</f>
        <v>0.5182919255</v>
      </c>
      <c r="J15" s="13"/>
      <c r="K15" s="13"/>
      <c r="L15" s="13"/>
      <c r="M15" s="13"/>
      <c r="N15" s="8">
        <v>13.0</v>
      </c>
      <c r="O15" s="106">
        <v>4.0</v>
      </c>
      <c r="P15" s="79">
        <f t="shared" si="3"/>
        <v>8.333333333</v>
      </c>
      <c r="Q15" s="79">
        <f>($E$6+$E$9+$E$12+$E$15)/4</f>
        <v>0.5182919255</v>
      </c>
      <c r="R15" s="79">
        <f t="shared" si="4"/>
        <v>4.319099379</v>
      </c>
      <c r="S15" s="108">
        <f t="shared" si="5"/>
        <v>0.3190993789</v>
      </c>
      <c r="T15" s="12"/>
      <c r="U15" s="13"/>
    </row>
    <row r="16" ht="14.25" customHeight="1">
      <c r="B16" s="8">
        <v>14.0</v>
      </c>
      <c r="C16" s="106">
        <v>14.0</v>
      </c>
      <c r="D16" s="79">
        <f t="shared" si="1"/>
        <v>8.666666667</v>
      </c>
      <c r="E16" s="79">
        <f t="shared" si="2"/>
        <v>1.615384615</v>
      </c>
      <c r="F16" s="13"/>
      <c r="G16" s="8">
        <v>14.0</v>
      </c>
      <c r="H16" s="106">
        <v>15.0</v>
      </c>
      <c r="I16" s="79">
        <f>($E$4+$E$7+$E$10+$E$13+$E$16)/5</f>
        <v>1.569556934</v>
      </c>
      <c r="J16" s="13"/>
      <c r="K16" s="13"/>
      <c r="L16" s="13"/>
      <c r="M16" s="13"/>
      <c r="N16" s="8">
        <v>14.0</v>
      </c>
      <c r="O16" s="106">
        <v>14.0</v>
      </c>
      <c r="P16" s="79">
        <f t="shared" si="3"/>
        <v>8.666666667</v>
      </c>
      <c r="Q16" s="79">
        <f>($E$4+$E$7+$E$10+$E$13+$E$16)/5</f>
        <v>1.569556934</v>
      </c>
      <c r="R16" s="79">
        <f t="shared" si="4"/>
        <v>13.60282676</v>
      </c>
      <c r="S16" s="108">
        <f t="shared" si="5"/>
        <v>-0.39717324</v>
      </c>
      <c r="T16" s="12"/>
      <c r="U16" s="13"/>
    </row>
    <row r="17" ht="14.25" customHeight="1">
      <c r="B17" s="40">
        <v>15.0</v>
      </c>
      <c r="C17" s="106">
        <v>8.0</v>
      </c>
      <c r="D17" s="14"/>
      <c r="E17" s="79"/>
      <c r="F17" s="13"/>
      <c r="G17" s="8">
        <v>15.0</v>
      </c>
      <c r="H17" s="106">
        <v>8.0</v>
      </c>
      <c r="I17" s="79"/>
      <c r="J17" s="13"/>
      <c r="K17" s="13"/>
      <c r="L17" s="13"/>
      <c r="M17" s="13"/>
      <c r="N17" s="8">
        <v>15.0</v>
      </c>
      <c r="O17" s="106">
        <v>8.0</v>
      </c>
      <c r="P17" s="30">
        <f t="shared" ref="P17:P18" si="6">0.2637*N17 + 5.0183</f>
        <v>8.9738</v>
      </c>
      <c r="Q17" s="79">
        <f>($E$5+$E$8+$E$11+$E$14)/4</f>
        <v>0.9124854685</v>
      </c>
      <c r="R17" s="79">
        <f t="shared" si="4"/>
        <v>8.188462097</v>
      </c>
      <c r="S17" s="108">
        <f t="shared" si="5"/>
        <v>0.1884620972</v>
      </c>
      <c r="T17" s="12"/>
      <c r="U17" s="13"/>
    </row>
    <row r="18" ht="14.25" customHeight="1">
      <c r="B18" s="40">
        <v>16.0</v>
      </c>
      <c r="C18" s="8"/>
      <c r="D18" s="14"/>
      <c r="E18" s="79"/>
      <c r="F18" s="13"/>
      <c r="G18" s="8">
        <v>16.0</v>
      </c>
      <c r="H18" s="8" t="str">
        <f>C31</f>
        <v/>
      </c>
      <c r="I18" s="79"/>
      <c r="J18" s="13"/>
      <c r="K18" s="13"/>
      <c r="L18" s="13"/>
      <c r="M18" s="13"/>
      <c r="N18" s="73">
        <v>16.0</v>
      </c>
      <c r="O18" s="30"/>
      <c r="P18" s="30">
        <f t="shared" si="6"/>
        <v>9.2375</v>
      </c>
      <c r="Q18" s="79">
        <f>($E$6+$E$9+$E$12+$E$15)/4</f>
        <v>0.5182919255</v>
      </c>
      <c r="R18" s="79">
        <f t="shared" si="4"/>
        <v>4.787721661</v>
      </c>
      <c r="S18" s="108"/>
      <c r="T18" s="12"/>
      <c r="U18" s="13"/>
    </row>
    <row r="19" ht="14.25" customHeight="1">
      <c r="B19" s="8">
        <v>17.0</v>
      </c>
      <c r="C19" s="8"/>
      <c r="D19" s="14"/>
      <c r="E19" s="79"/>
      <c r="F19" s="13"/>
      <c r="G19" s="8">
        <v>17.0</v>
      </c>
      <c r="H19" s="8" t="str">
        <f>C33</f>
        <v/>
      </c>
      <c r="I19" s="79"/>
      <c r="J19" s="13"/>
      <c r="K19" s="13"/>
      <c r="L19" s="13"/>
      <c r="M19" s="13"/>
      <c r="N19" s="17" t="s">
        <v>27</v>
      </c>
      <c r="O19" s="3"/>
      <c r="P19" s="3"/>
      <c r="Q19" s="3"/>
      <c r="R19" s="22"/>
      <c r="S19" s="14" t="str">
        <f>SUM(S2:S26)</f>
        <v>#REF!</v>
      </c>
      <c r="T19" s="13"/>
      <c r="U19" s="13"/>
    </row>
    <row r="20" ht="14.25" customHeight="1">
      <c r="B20" s="8">
        <v>18.0</v>
      </c>
      <c r="C20" s="8"/>
      <c r="D20" s="14"/>
      <c r="E20" s="79"/>
      <c r="F20" s="13"/>
      <c r="G20" s="8">
        <v>18.0</v>
      </c>
      <c r="H20" s="8" t="str">
        <f>C35</f>
        <v/>
      </c>
      <c r="I20" s="79"/>
      <c r="J20" s="13"/>
      <c r="K20" s="13"/>
      <c r="L20" s="13"/>
      <c r="M20" s="13"/>
      <c r="N20" s="17" t="s">
        <v>9</v>
      </c>
      <c r="O20" s="3"/>
      <c r="P20" s="3"/>
      <c r="Q20" s="3"/>
      <c r="R20" s="22"/>
      <c r="S20" s="8"/>
      <c r="T20" s="13"/>
      <c r="U20" s="13"/>
    </row>
    <row r="21" ht="14.25" customHeight="1">
      <c r="B21" s="40">
        <v>19.0</v>
      </c>
      <c r="C21" s="8"/>
      <c r="D21" s="14"/>
      <c r="E21" s="79"/>
      <c r="F21" s="13"/>
      <c r="G21" s="8">
        <v>19.0</v>
      </c>
      <c r="H21" s="8" t="str">
        <f>C37</f>
        <v/>
      </c>
      <c r="I21" s="79"/>
      <c r="J21" s="13"/>
      <c r="K21" s="13"/>
      <c r="L21" s="13"/>
      <c r="M21" s="13"/>
      <c r="N21" s="13"/>
      <c r="O21" s="50"/>
      <c r="P21" s="82"/>
      <c r="Q21" s="109"/>
      <c r="R21" s="13"/>
      <c r="S21" s="13"/>
      <c r="T21" s="13"/>
      <c r="U21" s="13"/>
    </row>
    <row r="22" ht="14.25" customHeight="1">
      <c r="B22" s="40">
        <v>20.0</v>
      </c>
      <c r="C22" s="8"/>
      <c r="D22" s="14"/>
      <c r="E22" s="79"/>
      <c r="F22" s="13"/>
      <c r="G22" s="8">
        <v>20.0</v>
      </c>
      <c r="H22" s="8" t="str">
        <f>C39</f>
        <v/>
      </c>
      <c r="I22" s="79"/>
      <c r="J22" s="13"/>
      <c r="K22" s="13"/>
      <c r="L22" s="8" t="s">
        <v>1</v>
      </c>
      <c r="M22" s="8" t="s">
        <v>79</v>
      </c>
      <c r="N22" s="42" t="s">
        <v>107</v>
      </c>
      <c r="O22" s="50"/>
      <c r="P22" s="82"/>
      <c r="Q22" s="109"/>
      <c r="R22" s="13"/>
      <c r="S22" s="13"/>
      <c r="T22" s="13"/>
      <c r="U22" s="13"/>
    </row>
    <row r="23" ht="14.25" customHeight="1">
      <c r="B23" s="8">
        <v>21.0</v>
      </c>
      <c r="C23" s="8"/>
      <c r="D23" s="14"/>
      <c r="E23" s="79"/>
      <c r="F23" s="13"/>
      <c r="G23" s="8">
        <v>21.0</v>
      </c>
      <c r="H23" s="8" t="str">
        <f>C41</f>
        <v/>
      </c>
      <c r="I23" s="79"/>
      <c r="J23" s="13"/>
      <c r="K23" s="13"/>
      <c r="L23" s="8">
        <v>1.0</v>
      </c>
      <c r="M23" s="30"/>
      <c r="N23" s="110" t="s">
        <v>108</v>
      </c>
      <c r="O23" s="50"/>
      <c r="P23" s="82"/>
      <c r="Q23" s="109"/>
      <c r="R23" s="13"/>
      <c r="S23" s="13"/>
      <c r="T23" s="13"/>
      <c r="U23" s="13"/>
    </row>
    <row r="24" ht="14.25" customHeight="1">
      <c r="B24" s="8">
        <v>22.0</v>
      </c>
      <c r="C24" s="8"/>
      <c r="D24" s="14"/>
      <c r="E24" s="79"/>
      <c r="F24" s="13"/>
      <c r="G24" s="8">
        <v>22.0</v>
      </c>
      <c r="H24" s="8" t="str">
        <f t="shared" ref="H24:H26" si="7">C43</f>
        <v/>
      </c>
      <c r="I24" s="79"/>
      <c r="J24" s="13"/>
      <c r="K24" s="13"/>
      <c r="L24" s="8">
        <v>2.0</v>
      </c>
      <c r="M24" s="111">
        <v>5.6667</v>
      </c>
      <c r="N24" s="30">
        <f t="shared" ref="N24:N39" si="8">0.2637*L24 + 5.0183</f>
        <v>5.5457</v>
      </c>
      <c r="O24" s="50"/>
      <c r="P24" s="82"/>
      <c r="Q24" s="109"/>
      <c r="R24" s="13"/>
      <c r="S24" s="13"/>
      <c r="T24" s="13"/>
      <c r="U24" s="13"/>
    </row>
    <row r="25" ht="14.25" customHeight="1">
      <c r="B25" s="8"/>
      <c r="C25" s="8"/>
      <c r="D25" s="14"/>
      <c r="E25" s="79"/>
      <c r="F25" s="13"/>
      <c r="G25" s="8">
        <v>23.0</v>
      </c>
      <c r="H25" s="8" t="str">
        <f t="shared" si="7"/>
        <v/>
      </c>
      <c r="I25" s="79"/>
      <c r="J25" s="13"/>
      <c r="K25" s="13"/>
      <c r="L25" s="8">
        <v>3.0</v>
      </c>
      <c r="M25" s="112">
        <v>5.6667</v>
      </c>
      <c r="N25" s="30">
        <f t="shared" si="8"/>
        <v>5.8094</v>
      </c>
      <c r="O25" s="50"/>
      <c r="P25" s="82"/>
      <c r="Q25" s="109"/>
      <c r="R25" s="13"/>
      <c r="S25" s="13"/>
      <c r="T25" s="13"/>
      <c r="U25" s="13"/>
    </row>
    <row r="26" ht="14.25" customHeight="1">
      <c r="B26" s="8"/>
      <c r="C26" s="8"/>
      <c r="D26" s="14"/>
      <c r="E26" s="79"/>
      <c r="F26" s="13"/>
      <c r="G26" s="8">
        <v>24.0</v>
      </c>
      <c r="H26" s="8" t="str">
        <f t="shared" si="7"/>
        <v/>
      </c>
      <c r="I26" s="79"/>
      <c r="J26" s="13"/>
      <c r="K26" s="13"/>
      <c r="L26" s="8">
        <v>4.0</v>
      </c>
      <c r="M26" s="112">
        <v>6.0</v>
      </c>
      <c r="N26" s="30">
        <f t="shared" si="8"/>
        <v>6.0731</v>
      </c>
      <c r="O26" s="50"/>
      <c r="P26" s="82"/>
      <c r="Q26" s="109"/>
      <c r="R26" s="13"/>
      <c r="S26" s="13"/>
      <c r="T26" s="13"/>
      <c r="U26" s="13"/>
    </row>
    <row r="27" ht="14.25" customHeight="1">
      <c r="B27" s="8"/>
      <c r="C27" s="8"/>
      <c r="D27" s="14"/>
      <c r="E27" s="79"/>
      <c r="F27" s="13"/>
      <c r="G27" s="13"/>
      <c r="H27" s="13"/>
      <c r="I27" s="13"/>
      <c r="J27" s="13"/>
      <c r="K27" s="13"/>
      <c r="L27" s="8">
        <v>5.0</v>
      </c>
      <c r="M27" s="112">
        <v>6.3333</v>
      </c>
      <c r="N27" s="30">
        <f t="shared" si="8"/>
        <v>6.3368</v>
      </c>
      <c r="T27" s="13"/>
      <c r="U27" s="13"/>
    </row>
    <row r="28" ht="14.25" customHeight="1">
      <c r="B28" s="8"/>
      <c r="C28" s="8"/>
      <c r="D28" s="14"/>
      <c r="E28" s="79"/>
      <c r="F28" s="13"/>
      <c r="G28" s="13"/>
      <c r="H28" s="13"/>
      <c r="I28" s="13"/>
      <c r="J28" s="13"/>
      <c r="K28" s="13"/>
      <c r="L28" s="8">
        <v>6.0</v>
      </c>
      <c r="M28" s="112">
        <v>6.6667</v>
      </c>
      <c r="N28" s="30">
        <f t="shared" si="8"/>
        <v>6.6005</v>
      </c>
      <c r="T28" s="13"/>
      <c r="U28" s="13"/>
    </row>
    <row r="29" ht="14.25" customHeight="1">
      <c r="B29" s="8"/>
      <c r="C29" s="8"/>
      <c r="D29" s="14"/>
      <c r="E29" s="79"/>
      <c r="F29" s="13"/>
      <c r="G29" s="13"/>
      <c r="H29" s="13"/>
      <c r="I29" s="13"/>
      <c r="J29" s="13"/>
      <c r="K29" s="13"/>
      <c r="L29" s="8">
        <v>7.0</v>
      </c>
      <c r="M29" s="112">
        <v>7.0</v>
      </c>
      <c r="N29" s="30">
        <f t="shared" si="8"/>
        <v>6.8642</v>
      </c>
      <c r="O29" s="13"/>
      <c r="P29" s="13"/>
      <c r="Q29" s="13"/>
      <c r="R29" s="13"/>
      <c r="S29" s="13"/>
      <c r="T29" s="13"/>
      <c r="U29" s="13"/>
    </row>
    <row r="30" ht="14.25" customHeight="1">
      <c r="B30" s="8"/>
      <c r="C30" s="8"/>
      <c r="D30" s="14"/>
      <c r="E30" s="79"/>
      <c r="F30" s="13"/>
      <c r="G30" s="13"/>
      <c r="H30" s="13"/>
      <c r="I30" s="13"/>
      <c r="J30" s="13"/>
      <c r="K30" s="13"/>
      <c r="L30" s="8">
        <v>8.0</v>
      </c>
      <c r="M30" s="112">
        <v>7.3333</v>
      </c>
      <c r="N30" s="30">
        <f t="shared" si="8"/>
        <v>7.1279</v>
      </c>
      <c r="O30" s="13"/>
      <c r="P30" s="13"/>
      <c r="Q30" s="13"/>
      <c r="R30" s="13"/>
      <c r="S30" s="13"/>
      <c r="T30" s="13"/>
      <c r="U30" s="13"/>
    </row>
    <row r="31" ht="14.25" customHeight="1">
      <c r="B31" s="8"/>
      <c r="C31" s="8"/>
      <c r="D31" s="14"/>
      <c r="E31" s="79"/>
      <c r="F31" s="13"/>
      <c r="G31" s="13"/>
      <c r="H31" s="13"/>
      <c r="I31" s="13"/>
      <c r="J31" s="13"/>
      <c r="K31" s="13"/>
      <c r="L31" s="8">
        <v>9.0</v>
      </c>
      <c r="M31" s="112">
        <v>7.3333</v>
      </c>
      <c r="N31" s="30">
        <f t="shared" si="8"/>
        <v>7.3916</v>
      </c>
      <c r="O31" s="13"/>
      <c r="P31" s="13"/>
      <c r="Q31" s="13"/>
      <c r="R31" s="13"/>
      <c r="S31" s="13"/>
      <c r="T31" s="13"/>
      <c r="U31" s="13"/>
    </row>
    <row r="32" ht="14.25" customHeight="1">
      <c r="B32" s="8"/>
      <c r="C32" s="8"/>
      <c r="D32" s="14"/>
      <c r="E32" s="79"/>
      <c r="F32" s="13"/>
      <c r="G32" s="13"/>
      <c r="H32" s="13"/>
      <c r="I32" s="13"/>
      <c r="J32" s="13"/>
      <c r="K32" s="13"/>
      <c r="L32" s="8">
        <v>10.0</v>
      </c>
      <c r="M32" s="112">
        <v>7.6667</v>
      </c>
      <c r="N32" s="30">
        <f t="shared" si="8"/>
        <v>7.6553</v>
      </c>
      <c r="O32" s="13"/>
      <c r="P32" s="13"/>
      <c r="Q32" s="13"/>
      <c r="R32" s="13"/>
      <c r="S32" s="13"/>
      <c r="T32" s="13"/>
      <c r="U32" s="13"/>
    </row>
    <row r="33" ht="14.25" customHeight="1">
      <c r="B33" s="8"/>
      <c r="C33" s="8"/>
      <c r="D33" s="14"/>
      <c r="E33" s="79"/>
      <c r="F33" s="13"/>
      <c r="G33" s="13"/>
      <c r="H33" s="13"/>
      <c r="I33" s="13"/>
      <c r="J33" s="13"/>
      <c r="K33" s="13"/>
      <c r="L33" s="8">
        <v>11.0</v>
      </c>
      <c r="M33" s="112">
        <v>7.6667</v>
      </c>
      <c r="N33" s="30">
        <f t="shared" si="8"/>
        <v>7.919</v>
      </c>
      <c r="O33" s="13"/>
      <c r="P33" s="13"/>
      <c r="Q33" s="13"/>
      <c r="R33" s="13"/>
      <c r="S33" s="13"/>
      <c r="T33" s="13"/>
      <c r="U33" s="13"/>
    </row>
    <row r="34" ht="14.25" customHeight="1">
      <c r="B34" s="8"/>
      <c r="C34" s="8"/>
      <c r="D34" s="14"/>
      <c r="E34" s="79"/>
      <c r="F34" s="13"/>
      <c r="G34" s="13"/>
      <c r="H34" s="13"/>
      <c r="I34" s="13"/>
      <c r="J34" s="13"/>
      <c r="K34" s="13"/>
      <c r="L34" s="8">
        <v>12.0</v>
      </c>
      <c r="M34" s="112">
        <v>7.6667</v>
      </c>
      <c r="N34" s="30">
        <f t="shared" si="8"/>
        <v>8.1827</v>
      </c>
      <c r="O34" s="13"/>
      <c r="P34" s="13"/>
      <c r="Q34" s="13"/>
      <c r="R34" s="13"/>
      <c r="S34" s="13"/>
      <c r="T34" s="13"/>
      <c r="U34" s="13"/>
    </row>
    <row r="35" ht="14.25" customHeight="1">
      <c r="B35" s="8"/>
      <c r="C35" s="8"/>
      <c r="D35" s="14"/>
      <c r="E35" s="79"/>
      <c r="F35" s="13"/>
      <c r="G35" s="13"/>
      <c r="H35" s="13"/>
      <c r="I35" s="13"/>
      <c r="J35" s="13"/>
      <c r="K35" s="13"/>
      <c r="L35" s="8">
        <v>13.0</v>
      </c>
      <c r="M35" s="112">
        <v>8.3333</v>
      </c>
      <c r="N35" s="30">
        <f t="shared" si="8"/>
        <v>8.4464</v>
      </c>
      <c r="O35" s="13"/>
      <c r="P35" s="13"/>
      <c r="Q35" s="13"/>
      <c r="R35" s="13"/>
      <c r="S35" s="13"/>
      <c r="T35" s="13"/>
      <c r="U35" s="13"/>
    </row>
    <row r="36" ht="14.25" customHeight="1">
      <c r="B36" s="8"/>
      <c r="C36" s="8"/>
      <c r="D36" s="14"/>
      <c r="E36" s="79"/>
      <c r="F36" s="13"/>
      <c r="G36" s="13"/>
      <c r="H36" s="13"/>
      <c r="I36" s="13"/>
      <c r="J36" s="13"/>
      <c r="K36" s="13"/>
      <c r="L36" s="8">
        <v>14.0</v>
      </c>
      <c r="M36" s="112">
        <v>8.6667</v>
      </c>
      <c r="N36" s="30">
        <f t="shared" si="8"/>
        <v>8.7101</v>
      </c>
      <c r="O36" s="13"/>
      <c r="P36" s="13"/>
      <c r="Q36" s="13"/>
      <c r="R36" s="13"/>
      <c r="S36" s="13"/>
      <c r="T36" s="13"/>
      <c r="U36" s="13"/>
    </row>
    <row r="37" ht="14.25" customHeight="1">
      <c r="B37" s="8"/>
      <c r="C37" s="8"/>
      <c r="D37" s="14"/>
      <c r="E37" s="79"/>
      <c r="F37" s="13"/>
      <c r="G37" s="13"/>
      <c r="H37" s="13"/>
      <c r="I37" s="13"/>
      <c r="J37" s="13"/>
      <c r="K37" s="13"/>
      <c r="L37" s="8">
        <v>15.0</v>
      </c>
      <c r="M37" s="14"/>
      <c r="N37" s="30">
        <f t="shared" si="8"/>
        <v>8.9738</v>
      </c>
      <c r="O37" s="13"/>
      <c r="P37" s="13"/>
      <c r="Q37" s="13"/>
      <c r="R37" s="13"/>
      <c r="S37" s="13"/>
      <c r="T37" s="13"/>
      <c r="U37" s="13"/>
    </row>
    <row r="38" ht="14.25" customHeight="1">
      <c r="B38" s="8"/>
      <c r="C38" s="8"/>
      <c r="D38" s="14"/>
      <c r="E38" s="79"/>
      <c r="F38" s="13"/>
      <c r="G38" s="13"/>
      <c r="H38" s="13"/>
      <c r="I38" s="13"/>
      <c r="J38" s="13"/>
      <c r="K38" s="13"/>
      <c r="L38" s="42">
        <v>16.0</v>
      </c>
      <c r="M38" s="30"/>
      <c r="N38" s="30">
        <f t="shared" si="8"/>
        <v>9.2375</v>
      </c>
      <c r="O38" s="13"/>
      <c r="P38" s="13"/>
      <c r="Q38" s="13"/>
      <c r="R38" s="13"/>
      <c r="S38" s="13"/>
      <c r="T38" s="13"/>
      <c r="U38" s="13"/>
    </row>
    <row r="39" ht="14.25" customHeight="1">
      <c r="B39" s="8"/>
      <c r="C39" s="8"/>
      <c r="D39" s="14"/>
      <c r="E39" s="79"/>
      <c r="F39" s="13"/>
      <c r="G39" s="13"/>
      <c r="H39" s="13"/>
      <c r="I39" s="13"/>
      <c r="J39" s="13"/>
      <c r="K39" s="13"/>
      <c r="L39" s="42">
        <v>17.0</v>
      </c>
      <c r="M39" s="30"/>
      <c r="N39" s="30">
        <f t="shared" si="8"/>
        <v>9.5012</v>
      </c>
      <c r="O39" s="13"/>
      <c r="P39" s="13"/>
      <c r="Q39" s="13"/>
      <c r="R39" s="13"/>
      <c r="S39" s="13"/>
      <c r="T39" s="13"/>
      <c r="U39" s="13"/>
    </row>
    <row r="40" ht="14.25" customHeight="1">
      <c r="B40" s="8"/>
      <c r="C40" s="8"/>
      <c r="D40" s="14"/>
      <c r="E40" s="79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ht="14.25" customHeight="1">
      <c r="B41" s="8"/>
      <c r="C41" s="8"/>
      <c r="D41" s="14"/>
      <c r="E41" s="79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ht="14.25" customHeight="1">
      <c r="B42" s="8"/>
      <c r="C42" s="8"/>
      <c r="D42" s="14"/>
      <c r="E42" s="79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ht="14.25" customHeight="1">
      <c r="B43" s="8"/>
      <c r="C43" s="8"/>
      <c r="D43" s="14"/>
      <c r="E43" s="7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ht="14.25" customHeight="1">
      <c r="B44" s="8"/>
      <c r="C44" s="8"/>
      <c r="D44" s="14"/>
      <c r="E44" s="79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ht="14.25" customHeight="1">
      <c r="B45" s="8"/>
      <c r="C45" s="8"/>
      <c r="D45" s="14"/>
      <c r="E45" s="79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ht="14.25" customHeight="1">
      <c r="D46" s="113"/>
      <c r="E46" s="113"/>
      <c r="G46" s="114">
        <f>SUM(E7:E41)</f>
        <v>10.60030601</v>
      </c>
    </row>
    <row r="47" ht="14.25" customHeight="1"/>
    <row r="48" ht="14.25" customHeight="1">
      <c r="B48" s="87"/>
      <c r="C48" s="87"/>
      <c r="D48" s="87"/>
      <c r="E48" s="87"/>
      <c r="F48" s="87"/>
      <c r="G48" s="87"/>
      <c r="H48" s="87"/>
      <c r="I48" s="87"/>
    </row>
    <row r="49" ht="14.25" customHeight="1">
      <c r="B49" s="87"/>
      <c r="C49" s="87"/>
      <c r="D49" s="87"/>
      <c r="E49" s="87"/>
      <c r="F49" s="87"/>
      <c r="G49" s="87"/>
      <c r="H49" s="87"/>
      <c r="I49" s="87"/>
    </row>
    <row r="50" ht="14.25" customHeight="1"/>
    <row r="51" ht="14.25" customHeight="1"/>
    <row r="52" ht="14.25" customHeight="1">
      <c r="B52" s="7">
        <v>1.0</v>
      </c>
      <c r="C52" s="15">
        <v>598.0</v>
      </c>
    </row>
    <row r="53" ht="14.25" customHeight="1">
      <c r="B53" s="7">
        <v>2.0</v>
      </c>
      <c r="C53" s="15">
        <v>648.0</v>
      </c>
    </row>
    <row r="54" ht="14.25" customHeight="1">
      <c r="B54" s="7">
        <v>3.0</v>
      </c>
      <c r="C54" s="15">
        <v>556.0</v>
      </c>
    </row>
    <row r="55" ht="14.25" customHeight="1">
      <c r="B55" s="7">
        <v>4.0</v>
      </c>
      <c r="C55" s="15">
        <v>522.0</v>
      </c>
    </row>
    <row r="56" ht="14.25" customHeight="1">
      <c r="B56" s="7">
        <v>5.0</v>
      </c>
      <c r="C56" s="15">
        <v>604.0</v>
      </c>
    </row>
    <row r="57" ht="14.25" customHeight="1">
      <c r="B57" s="7">
        <v>6.0</v>
      </c>
      <c r="C57" s="15">
        <v>615.0</v>
      </c>
    </row>
    <row r="58" ht="14.25" customHeight="1">
      <c r="B58" s="7">
        <v>7.0</v>
      </c>
      <c r="C58" s="15">
        <v>551.0</v>
      </c>
    </row>
    <row r="59" ht="14.25" customHeight="1">
      <c r="B59" s="7">
        <v>8.0</v>
      </c>
      <c r="C59" s="15">
        <v>525.0</v>
      </c>
    </row>
    <row r="60" ht="14.25" customHeight="1">
      <c r="B60" s="7">
        <v>9.0</v>
      </c>
      <c r="C60" s="15">
        <v>583.0</v>
      </c>
    </row>
    <row r="61" ht="14.25" customHeight="1">
      <c r="B61" s="7">
        <v>10.0</v>
      </c>
      <c r="C61" s="15">
        <v>618.0</v>
      </c>
    </row>
    <row r="62" ht="14.25" customHeight="1">
      <c r="B62" s="7">
        <v>11.0</v>
      </c>
      <c r="C62" s="15">
        <v>558.0</v>
      </c>
    </row>
    <row r="63" ht="14.25" customHeight="1">
      <c r="B63" s="7">
        <v>12.0</v>
      </c>
      <c r="C63" s="15">
        <v>528.0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E1"/>
    <mergeCell ref="G1:I1"/>
    <mergeCell ref="N1:S1"/>
    <mergeCell ref="N19:R19"/>
    <mergeCell ref="N20:R20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29"/>
    <col customWidth="1" min="5" max="5" width="8.71"/>
    <col customWidth="1" min="6" max="6" width="12.86"/>
    <col customWidth="1" min="7" max="7" width="12.29"/>
    <col customWidth="1" min="8" max="8" width="14.0"/>
    <col customWidth="1" min="9" max="25" width="8.71"/>
  </cols>
  <sheetData>
    <row r="1" ht="14.25" customHeight="1">
      <c r="B1" s="10" t="s">
        <v>76</v>
      </c>
      <c r="C1" s="77"/>
      <c r="D1" s="77"/>
      <c r="E1" s="78"/>
      <c r="F1" s="13"/>
      <c r="G1" s="13"/>
      <c r="K1" s="13"/>
      <c r="N1" s="13"/>
      <c r="O1" s="10" t="s">
        <v>101</v>
      </c>
      <c r="P1" s="77"/>
      <c r="Q1" s="77"/>
      <c r="R1" s="77"/>
      <c r="S1" s="77"/>
      <c r="T1" s="78"/>
      <c r="U1" s="13"/>
      <c r="V1" s="13"/>
    </row>
    <row r="2" ht="14.25" customHeight="1">
      <c r="B2" s="6" t="s">
        <v>1</v>
      </c>
      <c r="C2" s="6" t="s">
        <v>2</v>
      </c>
      <c r="D2" s="43" t="s">
        <v>104</v>
      </c>
      <c r="E2" s="6" t="s">
        <v>80</v>
      </c>
      <c r="F2" s="65" t="s">
        <v>105</v>
      </c>
      <c r="G2" s="65" t="s">
        <v>109</v>
      </c>
      <c r="H2" s="65" t="s">
        <v>110</v>
      </c>
      <c r="I2" s="13"/>
      <c r="J2" s="13"/>
      <c r="K2" s="13"/>
      <c r="N2" s="13"/>
      <c r="O2" s="6" t="s">
        <v>1</v>
      </c>
      <c r="P2" s="6" t="s">
        <v>111</v>
      </c>
      <c r="Q2" s="6" t="s">
        <v>80</v>
      </c>
      <c r="R2" s="6" t="s">
        <v>106</v>
      </c>
      <c r="S2" s="6" t="s">
        <v>99</v>
      </c>
      <c r="T2" s="6" t="s">
        <v>4</v>
      </c>
      <c r="U2" s="13"/>
      <c r="V2" s="13"/>
    </row>
    <row r="3" ht="14.25" customHeight="1">
      <c r="B3" s="8">
        <v>1.0</v>
      </c>
      <c r="C3" s="40">
        <v>2.0</v>
      </c>
      <c r="D3" s="14"/>
      <c r="E3" s="79"/>
      <c r="F3" s="13"/>
      <c r="G3" s="13"/>
      <c r="H3" s="13"/>
      <c r="I3" s="82"/>
      <c r="J3" s="109"/>
      <c r="K3" s="13"/>
      <c r="N3" s="13"/>
      <c r="O3" s="8"/>
      <c r="P3" s="31"/>
      <c r="Q3" s="79"/>
      <c r="R3" s="14"/>
      <c r="S3" s="8"/>
      <c r="T3" s="8"/>
      <c r="U3" s="13"/>
      <c r="V3" s="13"/>
    </row>
    <row r="4" ht="14.25" customHeight="1">
      <c r="B4" s="8">
        <v>2.0</v>
      </c>
      <c r="C4" s="40">
        <v>8.0</v>
      </c>
      <c r="D4" s="115">
        <f t="shared" ref="D4:D16" si="1">AVERAGE(C3:C5)</f>
        <v>4.666666667</v>
      </c>
      <c r="E4" s="79">
        <f t="shared" ref="E4:E16" si="2">C4/D4</f>
        <v>1.714285714</v>
      </c>
      <c r="F4" s="13">
        <f>($E$4+$E$7+$E$10+$E$13+$E$16)/5</f>
        <v>1.676146617</v>
      </c>
      <c r="G4" s="13">
        <f t="shared" ref="G4:G17" si="3">F4*D4</f>
        <v>7.822017544</v>
      </c>
      <c r="H4" s="13">
        <f t="shared" ref="H4:H17" si="4">G4-C4</f>
        <v>-0.1779824561</v>
      </c>
      <c r="I4" s="82"/>
      <c r="J4" s="109"/>
      <c r="K4" s="13"/>
      <c r="N4" s="13"/>
      <c r="O4" s="8"/>
      <c r="P4" s="31"/>
      <c r="Q4" s="79"/>
      <c r="R4" s="14"/>
      <c r="S4" s="8"/>
      <c r="T4" s="8"/>
      <c r="U4" s="13"/>
      <c r="V4" s="13"/>
    </row>
    <row r="5" ht="14.25" customHeight="1">
      <c r="B5" s="8">
        <v>3.0</v>
      </c>
      <c r="C5" s="40">
        <v>4.0</v>
      </c>
      <c r="D5" s="115">
        <f t="shared" si="1"/>
        <v>4.666666667</v>
      </c>
      <c r="E5" s="79">
        <f t="shared" si="2"/>
        <v>0.8571428571</v>
      </c>
      <c r="F5" s="13">
        <f>($E$5+$E$8+$E$11+$E$14)/4</f>
        <v>0.8967160548</v>
      </c>
      <c r="G5" s="13">
        <f t="shared" si="3"/>
        <v>4.184674923</v>
      </c>
      <c r="H5" s="13">
        <f t="shared" si="4"/>
        <v>0.1846749226</v>
      </c>
      <c r="I5" s="82"/>
      <c r="J5" s="109"/>
      <c r="K5" s="13"/>
      <c r="N5" s="13"/>
      <c r="O5" s="8"/>
      <c r="P5" s="31"/>
      <c r="Q5" s="79"/>
      <c r="R5" s="14"/>
      <c r="S5" s="8"/>
      <c r="T5" s="8"/>
      <c r="U5" s="13"/>
      <c r="V5" s="13"/>
    </row>
    <row r="6" ht="14.25" customHeight="1">
      <c r="B6" s="8">
        <v>4.0</v>
      </c>
      <c r="C6" s="40">
        <v>2.0</v>
      </c>
      <c r="D6" s="115">
        <f t="shared" si="1"/>
        <v>5</v>
      </c>
      <c r="E6" s="79">
        <f t="shared" si="2"/>
        <v>0.4</v>
      </c>
      <c r="F6" s="13">
        <f>($E$6+$E$9+$E$12+$E$15)/4</f>
        <v>0.435326087</v>
      </c>
      <c r="G6" s="13">
        <f t="shared" si="3"/>
        <v>2.176630435</v>
      </c>
      <c r="H6" s="13">
        <f t="shared" si="4"/>
        <v>0.1766304348</v>
      </c>
      <c r="I6" s="82"/>
      <c r="J6" s="109"/>
      <c r="K6" s="13"/>
      <c r="N6" s="13"/>
      <c r="O6" s="8"/>
      <c r="P6" s="31"/>
      <c r="Q6" s="79"/>
      <c r="R6" s="14"/>
      <c r="S6" s="8"/>
      <c r="T6" s="8"/>
      <c r="U6" s="13"/>
      <c r="V6" s="13"/>
    </row>
    <row r="7" ht="14.25" customHeight="1">
      <c r="B7" s="8">
        <v>5.0</v>
      </c>
      <c r="C7" s="40">
        <v>9.0</v>
      </c>
      <c r="D7" s="115">
        <f t="shared" si="1"/>
        <v>5.333333333</v>
      </c>
      <c r="E7" s="79">
        <f t="shared" si="2"/>
        <v>1.6875</v>
      </c>
      <c r="F7" s="13">
        <f>($E$4+$E$7+$E$10+$E$13+$E$16)/5</f>
        <v>1.676146617</v>
      </c>
      <c r="G7" s="13">
        <f t="shared" si="3"/>
        <v>8.939448622</v>
      </c>
      <c r="H7" s="13">
        <f t="shared" si="4"/>
        <v>-0.06055137845</v>
      </c>
      <c r="I7" s="82"/>
      <c r="J7" s="109"/>
      <c r="K7" s="13"/>
      <c r="N7" s="13"/>
      <c r="O7" s="8"/>
      <c r="P7" s="31"/>
      <c r="Q7" s="79"/>
      <c r="R7" s="14"/>
      <c r="S7" s="8"/>
      <c r="T7" s="8"/>
      <c r="U7" s="13"/>
      <c r="V7" s="13"/>
    </row>
    <row r="8" ht="14.25" customHeight="1">
      <c r="B8" s="8">
        <v>6.0</v>
      </c>
      <c r="C8" s="40">
        <v>5.0</v>
      </c>
      <c r="D8" s="115">
        <f t="shared" si="1"/>
        <v>5.666666667</v>
      </c>
      <c r="E8" s="79">
        <f t="shared" si="2"/>
        <v>0.8823529412</v>
      </c>
      <c r="F8" s="13">
        <f>($E$5+$E$8+$E$11+$E$14)/4</f>
        <v>0.8967160548</v>
      </c>
      <c r="G8" s="13">
        <f t="shared" si="3"/>
        <v>5.081390977</v>
      </c>
      <c r="H8" s="13">
        <f t="shared" si="4"/>
        <v>0.08139097744</v>
      </c>
      <c r="I8" s="82"/>
      <c r="J8" s="109"/>
      <c r="K8" s="13"/>
      <c r="N8" s="13"/>
      <c r="O8" s="8"/>
      <c r="P8" s="31"/>
      <c r="Q8" s="79"/>
      <c r="R8" s="14"/>
      <c r="S8" s="8"/>
      <c r="T8" s="8"/>
      <c r="U8" s="13"/>
      <c r="V8" s="13"/>
    </row>
    <row r="9" ht="14.25" customHeight="1">
      <c r="B9" s="8">
        <v>7.0</v>
      </c>
      <c r="C9" s="40">
        <v>3.0</v>
      </c>
      <c r="D9" s="115">
        <f t="shared" si="1"/>
        <v>6</v>
      </c>
      <c r="E9" s="79">
        <f t="shared" si="2"/>
        <v>0.5</v>
      </c>
      <c r="F9" s="13">
        <f>($E$6+$E$9+$E$12+$E$15)/4</f>
        <v>0.435326087</v>
      </c>
      <c r="G9" s="13">
        <f t="shared" si="3"/>
        <v>2.611956522</v>
      </c>
      <c r="H9" s="13">
        <f t="shared" si="4"/>
        <v>-0.3880434783</v>
      </c>
      <c r="I9" s="82"/>
      <c r="J9" s="109"/>
      <c r="K9" s="13"/>
      <c r="N9" s="13"/>
      <c r="O9" s="8"/>
      <c r="P9" s="31"/>
      <c r="Q9" s="79"/>
      <c r="R9" s="14"/>
      <c r="S9" s="8"/>
      <c r="T9" s="8"/>
      <c r="U9" s="13"/>
      <c r="V9" s="13"/>
    </row>
    <row r="10" ht="14.25" customHeight="1">
      <c r="B10" s="8">
        <v>8.0</v>
      </c>
      <c r="C10" s="40">
        <v>10.0</v>
      </c>
      <c r="D10" s="115">
        <f t="shared" si="1"/>
        <v>6.333333333</v>
      </c>
      <c r="E10" s="79">
        <f t="shared" si="2"/>
        <v>1.578947368</v>
      </c>
      <c r="F10" s="13">
        <f>($E$4+$E$7+$E$10+$E$13+$E$16)/5</f>
        <v>1.676146617</v>
      </c>
      <c r="G10" s="13">
        <f t="shared" si="3"/>
        <v>10.61559524</v>
      </c>
      <c r="H10" s="13">
        <f t="shared" si="4"/>
        <v>0.6155952381</v>
      </c>
      <c r="I10" s="82"/>
      <c r="J10" s="109"/>
      <c r="K10" s="13"/>
      <c r="L10" s="13"/>
      <c r="M10" s="13"/>
      <c r="N10" s="13"/>
      <c r="O10" s="8"/>
      <c r="P10" s="31"/>
      <c r="Q10" s="79"/>
      <c r="R10" s="14"/>
      <c r="S10" s="8"/>
      <c r="T10" s="8"/>
      <c r="U10" s="13"/>
      <c r="V10" s="13"/>
    </row>
    <row r="11" ht="14.25" customHeight="1">
      <c r="B11" s="8">
        <v>9.0</v>
      </c>
      <c r="C11" s="40">
        <v>6.0</v>
      </c>
      <c r="D11" s="115">
        <f t="shared" si="1"/>
        <v>6.333333333</v>
      </c>
      <c r="E11" s="79">
        <f t="shared" si="2"/>
        <v>0.9473684211</v>
      </c>
      <c r="F11" s="13">
        <f>($E$5+$E$8+$E$11+$E$14)/4</f>
        <v>0.8967160548</v>
      </c>
      <c r="G11" s="13">
        <f t="shared" si="3"/>
        <v>5.679201681</v>
      </c>
      <c r="H11" s="13">
        <f t="shared" si="4"/>
        <v>-0.3207983193</v>
      </c>
      <c r="I11" s="82"/>
      <c r="J11" s="109"/>
      <c r="K11" s="13"/>
      <c r="L11" s="13"/>
      <c r="M11" s="13"/>
      <c r="N11" s="13"/>
      <c r="O11" s="8"/>
      <c r="P11" s="31"/>
      <c r="Q11" s="79"/>
      <c r="R11" s="14"/>
      <c r="S11" s="8"/>
      <c r="T11" s="8"/>
      <c r="U11" s="13"/>
      <c r="V11" s="13"/>
    </row>
    <row r="12" ht="14.25" customHeight="1">
      <c r="B12" s="8">
        <v>10.0</v>
      </c>
      <c r="C12" s="40">
        <v>3.0</v>
      </c>
      <c r="D12" s="115">
        <f t="shared" si="1"/>
        <v>6.666666667</v>
      </c>
      <c r="E12" s="79">
        <f t="shared" si="2"/>
        <v>0.45</v>
      </c>
      <c r="F12" s="13">
        <f>($E$6+$E$9+$E$12+$E$15)/4</f>
        <v>0.435326087</v>
      </c>
      <c r="G12" s="13">
        <f t="shared" si="3"/>
        <v>2.902173913</v>
      </c>
      <c r="H12" s="13">
        <f t="shared" si="4"/>
        <v>-0.09782608696</v>
      </c>
      <c r="I12" s="82"/>
      <c r="J12" s="109"/>
      <c r="K12" s="13"/>
      <c r="L12" s="13"/>
      <c r="M12" s="13"/>
      <c r="N12" s="13"/>
      <c r="O12" s="8"/>
      <c r="P12" s="31"/>
      <c r="Q12" s="79"/>
      <c r="R12" s="14"/>
      <c r="S12" s="8"/>
      <c r="T12" s="8"/>
      <c r="U12" s="13"/>
      <c r="V12" s="13"/>
    </row>
    <row r="13" ht="14.25" customHeight="1">
      <c r="B13" s="8">
        <v>11.0</v>
      </c>
      <c r="C13" s="40">
        <v>11.0</v>
      </c>
      <c r="D13" s="115">
        <f t="shared" si="1"/>
        <v>6.666666667</v>
      </c>
      <c r="E13" s="79">
        <f t="shared" si="2"/>
        <v>1.65</v>
      </c>
      <c r="F13" s="13">
        <f>($E$4+$E$7+$E$10+$E$13+$E$16)/5</f>
        <v>1.676146617</v>
      </c>
      <c r="G13" s="13">
        <f t="shared" si="3"/>
        <v>11.17431078</v>
      </c>
      <c r="H13" s="13">
        <f t="shared" si="4"/>
        <v>0.1743107769</v>
      </c>
      <c r="I13" s="82"/>
      <c r="J13" s="109"/>
      <c r="K13" s="13"/>
      <c r="L13" s="13"/>
      <c r="M13" s="13"/>
      <c r="N13" s="13"/>
      <c r="O13" s="8"/>
      <c r="P13" s="31"/>
      <c r="Q13" s="79"/>
      <c r="R13" s="14"/>
      <c r="S13" s="8"/>
      <c r="T13" s="8"/>
      <c r="U13" s="13"/>
      <c r="V13" s="13"/>
    </row>
    <row r="14" ht="14.25" customHeight="1">
      <c r="B14" s="8">
        <v>12.0</v>
      </c>
      <c r="C14" s="40">
        <v>6.0</v>
      </c>
      <c r="D14" s="115">
        <f t="shared" si="1"/>
        <v>6.666666667</v>
      </c>
      <c r="E14" s="79">
        <f t="shared" si="2"/>
        <v>0.9</v>
      </c>
      <c r="F14" s="13">
        <f>($E$5+$E$8+$E$11+$E$14)/4</f>
        <v>0.8967160548</v>
      </c>
      <c r="G14" s="13">
        <f t="shared" si="3"/>
        <v>5.978107032</v>
      </c>
      <c r="H14" s="13">
        <f t="shared" si="4"/>
        <v>-0.02189296771</v>
      </c>
      <c r="I14" s="82"/>
      <c r="J14" s="109"/>
      <c r="K14" s="13"/>
      <c r="L14" s="13"/>
      <c r="M14" s="13"/>
      <c r="N14" s="13"/>
      <c r="O14" s="8"/>
      <c r="P14" s="31"/>
      <c r="Q14" s="79"/>
      <c r="R14" s="14"/>
      <c r="S14" s="8"/>
      <c r="T14" s="8"/>
      <c r="U14" s="13"/>
      <c r="V14" s="13"/>
    </row>
    <row r="15" ht="14.25" customHeight="1">
      <c r="B15" s="8">
        <v>13.0</v>
      </c>
      <c r="C15" s="40">
        <v>3.0</v>
      </c>
      <c r="D15" s="115">
        <f t="shared" si="1"/>
        <v>7.666666667</v>
      </c>
      <c r="E15" s="79">
        <f t="shared" si="2"/>
        <v>0.3913043478</v>
      </c>
      <c r="F15" s="13">
        <f>($E$6+$E$9+$E$12+$E$15)/4</f>
        <v>0.435326087</v>
      </c>
      <c r="G15" s="13">
        <f t="shared" si="3"/>
        <v>3.3375</v>
      </c>
      <c r="H15" s="13">
        <f t="shared" si="4"/>
        <v>0.3375</v>
      </c>
      <c r="I15" s="82"/>
      <c r="J15" s="109"/>
      <c r="K15" s="13"/>
      <c r="L15" s="13"/>
      <c r="M15" s="13"/>
      <c r="N15" s="13"/>
      <c r="O15" s="8"/>
      <c r="P15" s="31"/>
      <c r="Q15" s="79"/>
      <c r="R15" s="14"/>
      <c r="S15" s="8"/>
      <c r="T15" s="8"/>
      <c r="U15" s="13"/>
      <c r="V15" s="13"/>
    </row>
    <row r="16" ht="14.25" customHeight="1">
      <c r="B16" s="8">
        <v>14.0</v>
      </c>
      <c r="C16" s="40">
        <v>14.0</v>
      </c>
      <c r="D16" s="115">
        <f t="shared" si="1"/>
        <v>8</v>
      </c>
      <c r="E16" s="79">
        <f t="shared" si="2"/>
        <v>1.75</v>
      </c>
      <c r="F16" s="13">
        <f>($E$4+$E$7+$E$10+$E$13+$E$16)/5</f>
        <v>1.676146617</v>
      </c>
      <c r="G16" s="13">
        <f t="shared" si="3"/>
        <v>13.40917293</v>
      </c>
      <c r="H16" s="13">
        <f t="shared" si="4"/>
        <v>-0.5908270677</v>
      </c>
      <c r="I16" s="13"/>
      <c r="J16" s="13"/>
      <c r="K16" s="13"/>
      <c r="L16" s="13"/>
      <c r="M16" s="13"/>
      <c r="N16" s="13"/>
      <c r="O16" s="17"/>
      <c r="P16" s="3"/>
      <c r="Q16" s="3"/>
      <c r="R16" s="3"/>
      <c r="S16" s="22"/>
      <c r="T16" s="14"/>
      <c r="U16" s="13"/>
      <c r="V16" s="13"/>
    </row>
    <row r="17" ht="14.25" customHeight="1">
      <c r="B17" s="8">
        <v>15.0</v>
      </c>
      <c r="C17" s="40">
        <v>7.0</v>
      </c>
      <c r="D17" s="53">
        <f t="shared" ref="D17:D19" si="5">0.26374*B17 + 4.01832</f>
        <v>7.97442</v>
      </c>
      <c r="E17" s="79"/>
      <c r="F17" s="13">
        <f>($E$5+$E$8+$E$11+$E$14)/4</f>
        <v>0.8967160548</v>
      </c>
      <c r="G17" s="13">
        <f t="shared" si="3"/>
        <v>7.150790442</v>
      </c>
      <c r="H17" s="13">
        <f t="shared" si="4"/>
        <v>0.1507904421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ht="14.25" customHeight="1">
      <c r="B18" s="8">
        <v>16.0</v>
      </c>
      <c r="C18" s="8"/>
      <c r="D18" s="53">
        <f t="shared" si="5"/>
        <v>8.23816</v>
      </c>
      <c r="E18" s="79"/>
      <c r="F18" s="13">
        <f>($E$6+$E$9+$E$12+$E$15)/4</f>
        <v>0.435326087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ht="14.25" customHeight="1">
      <c r="B19" s="8">
        <v>17.0</v>
      </c>
      <c r="C19" s="8"/>
      <c r="D19" s="53">
        <f t="shared" si="5"/>
        <v>8.5019</v>
      </c>
      <c r="E19" s="79"/>
      <c r="F19" s="13">
        <f>($E$4+$E$7+$E$10+$E$13+$E$16)/5</f>
        <v>1.676146617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ht="14.25" customHeight="1">
      <c r="B20" s="8">
        <v>18.0</v>
      </c>
      <c r="C20" s="8"/>
      <c r="D20" s="14"/>
      <c r="E20" s="79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ht="14.25" customHeight="1">
      <c r="B21" s="8">
        <v>19.0</v>
      </c>
      <c r="C21" s="8"/>
      <c r="D21" s="14"/>
      <c r="E21" s="79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ht="14.25" customHeight="1">
      <c r="B22" s="8">
        <v>20.0</v>
      </c>
      <c r="C22" s="8"/>
      <c r="D22" s="14"/>
      <c r="E22" s="79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ht="14.25" customHeight="1">
      <c r="B23" s="8">
        <v>21.0</v>
      </c>
      <c r="C23" s="8"/>
      <c r="D23" s="14"/>
      <c r="E23" s="79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ht="14.25" customHeight="1">
      <c r="B24" s="8">
        <v>22.0</v>
      </c>
      <c r="C24" s="8"/>
      <c r="D24" s="14"/>
      <c r="E24" s="79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ht="14.25" customHeight="1">
      <c r="B25" s="8">
        <v>23.0</v>
      </c>
      <c r="C25" s="8"/>
      <c r="D25" s="14"/>
      <c r="E25" s="79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ht="14.25" customHeight="1">
      <c r="B26" s="8">
        <v>24.0</v>
      </c>
      <c r="C26" s="8"/>
      <c r="D26" s="14"/>
      <c r="E26" s="79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ht="14.25" customHeight="1"/>
    <row r="28" ht="14.25" customHeight="1">
      <c r="B28" s="87"/>
      <c r="C28" s="87"/>
      <c r="D28" s="87"/>
      <c r="E28" s="87"/>
      <c r="F28" s="87"/>
      <c r="G28" s="87"/>
      <c r="H28" s="87"/>
      <c r="I28" s="87"/>
    </row>
    <row r="29" ht="14.25" customHeight="1">
      <c r="B29" s="87"/>
      <c r="C29" s="87"/>
      <c r="D29" s="87"/>
      <c r="E29" s="87"/>
      <c r="F29" s="87"/>
      <c r="G29" s="87"/>
      <c r="H29" s="87"/>
      <c r="I29" s="87"/>
    </row>
    <row r="30" ht="14.25" customHeight="1"/>
    <row r="31" ht="14.25" customHeight="1"/>
    <row r="32" ht="15.0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mergeCells count="4">
    <mergeCell ref="B1:E1"/>
    <mergeCell ref="G1:J1"/>
    <mergeCell ref="O1:T1"/>
    <mergeCell ref="O16:S16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4" width="8.71"/>
    <col customWidth="1" min="5" max="5" width="12.0"/>
    <col customWidth="1" min="6" max="7" width="8.71"/>
    <col customWidth="1" min="8" max="8" width="18.86"/>
    <col customWidth="1" min="9" max="12" width="8.71"/>
    <col customWidth="1" min="13" max="13" width="12.0"/>
    <col customWidth="1" min="14" max="14" width="8.71"/>
    <col customWidth="1" min="15" max="15" width="12.0"/>
    <col customWidth="1" min="16" max="26" width="8.71"/>
  </cols>
  <sheetData>
    <row r="1" ht="14.25" customHeight="1">
      <c r="B1" s="10" t="s">
        <v>76</v>
      </c>
      <c r="C1" s="77"/>
      <c r="D1" s="77"/>
      <c r="E1" s="77"/>
      <c r="F1" s="78"/>
      <c r="G1" s="13"/>
      <c r="H1" s="10" t="s">
        <v>112</v>
      </c>
      <c r="I1" s="77"/>
      <c r="J1" s="77"/>
      <c r="K1" s="78"/>
      <c r="L1" s="13"/>
      <c r="M1" s="13"/>
      <c r="O1" s="13"/>
      <c r="P1" s="10" t="s">
        <v>101</v>
      </c>
      <c r="Q1" s="77"/>
      <c r="R1" s="77"/>
      <c r="S1" s="77"/>
      <c r="T1" s="77"/>
      <c r="U1" s="78"/>
      <c r="V1" s="13"/>
      <c r="W1" s="13"/>
    </row>
    <row r="2" ht="14.25" customHeight="1">
      <c r="B2" s="8" t="s">
        <v>1</v>
      </c>
      <c r="C2" s="8" t="s">
        <v>2</v>
      </c>
      <c r="D2" s="8" t="s">
        <v>78</v>
      </c>
      <c r="E2" s="8" t="s">
        <v>79</v>
      </c>
      <c r="F2" s="8" t="s">
        <v>80</v>
      </c>
      <c r="G2" s="13"/>
      <c r="H2" s="6" t="s">
        <v>1</v>
      </c>
      <c r="I2" s="6" t="s">
        <v>99</v>
      </c>
      <c r="J2" s="6" t="s">
        <v>80</v>
      </c>
      <c r="K2" s="6" t="s">
        <v>111</v>
      </c>
      <c r="L2" s="13"/>
      <c r="M2" s="13"/>
      <c r="N2" s="82"/>
      <c r="O2" s="13"/>
      <c r="P2" s="6" t="s">
        <v>1</v>
      </c>
      <c r="Q2" s="6" t="s">
        <v>111</v>
      </c>
      <c r="R2" s="6" t="s">
        <v>80</v>
      </c>
      <c r="S2" s="6" t="s">
        <v>106</v>
      </c>
      <c r="T2" s="6" t="s">
        <v>99</v>
      </c>
      <c r="U2" s="6" t="s">
        <v>4</v>
      </c>
      <c r="V2" s="13"/>
      <c r="W2" s="13"/>
    </row>
    <row r="3" ht="14.25" customHeight="1">
      <c r="B3" s="42" t="s">
        <v>44</v>
      </c>
      <c r="C3" s="40">
        <v>2.0</v>
      </c>
      <c r="D3" s="14"/>
      <c r="E3" s="14"/>
      <c r="F3" s="79"/>
      <c r="G3" s="13"/>
      <c r="H3" s="23" t="s">
        <v>44</v>
      </c>
      <c r="I3" s="116">
        <v>2.0</v>
      </c>
      <c r="J3" s="79">
        <v>0.7142857142857143</v>
      </c>
      <c r="K3" s="14">
        <f t="shared" ref="K3:K26" si="1">I3/J3</f>
        <v>2.8</v>
      </c>
      <c r="L3" s="13"/>
      <c r="M3" s="13"/>
      <c r="N3" s="82"/>
      <c r="O3" s="13"/>
      <c r="P3" s="8">
        <v>1.0</v>
      </c>
      <c r="Q3" s="14">
        <v>5.7128</v>
      </c>
      <c r="R3" s="79">
        <v>0.7142857142857143</v>
      </c>
      <c r="S3" s="14">
        <f t="shared" ref="S3:S26" si="2">Q3*R3</f>
        <v>4.080571429</v>
      </c>
      <c r="T3" s="40">
        <v>2.0</v>
      </c>
      <c r="U3" s="14">
        <f t="shared" ref="U3:U26" si="3">T3-S3</f>
        <v>-2.080571429</v>
      </c>
      <c r="V3" s="13"/>
      <c r="W3" s="13"/>
    </row>
    <row r="4" ht="14.25" customHeight="1">
      <c r="B4" s="42" t="s">
        <v>46</v>
      </c>
      <c r="C4" s="40">
        <v>3.0</v>
      </c>
      <c r="D4" s="14"/>
      <c r="E4" s="14"/>
      <c r="F4" s="79"/>
      <c r="G4" s="13"/>
      <c r="H4" s="23" t="s">
        <v>46</v>
      </c>
      <c r="I4" s="116">
        <v>3.0</v>
      </c>
      <c r="J4" s="117">
        <v>1.0</v>
      </c>
      <c r="K4" s="14">
        <f t="shared" si="1"/>
        <v>3</v>
      </c>
      <c r="L4" s="13"/>
      <c r="M4" s="13"/>
      <c r="N4" s="118"/>
      <c r="O4" s="13"/>
      <c r="P4" s="8">
        <v>2.0</v>
      </c>
      <c r="Q4" s="14">
        <v>5.823</v>
      </c>
      <c r="R4" s="117">
        <v>1.0</v>
      </c>
      <c r="S4" s="14">
        <f t="shared" si="2"/>
        <v>5.823</v>
      </c>
      <c r="T4" s="40">
        <v>3.0</v>
      </c>
      <c r="U4" s="14">
        <f t="shared" si="3"/>
        <v>-2.823</v>
      </c>
      <c r="V4" s="13"/>
      <c r="W4" s="13"/>
    </row>
    <row r="5" ht="14.25" customHeight="1">
      <c r="B5" s="42" t="s">
        <v>48</v>
      </c>
      <c r="C5" s="40">
        <v>3.0</v>
      </c>
      <c r="D5" s="14"/>
      <c r="E5" s="14"/>
      <c r="F5" s="79"/>
      <c r="G5" s="13"/>
      <c r="H5" s="23" t="s">
        <v>48</v>
      </c>
      <c r="I5" s="116">
        <v>3.0</v>
      </c>
      <c r="J5" s="79">
        <v>1.5714285714285714</v>
      </c>
      <c r="K5" s="14">
        <f t="shared" si="1"/>
        <v>1.909090909</v>
      </c>
      <c r="L5" s="13"/>
      <c r="M5" s="13"/>
      <c r="N5" s="82"/>
      <c r="O5" s="13"/>
      <c r="P5" s="8">
        <v>3.0</v>
      </c>
      <c r="Q5" s="14">
        <v>5.221909090909091</v>
      </c>
      <c r="R5" s="79">
        <v>1.5714285714285714</v>
      </c>
      <c r="S5" s="14">
        <f t="shared" si="2"/>
        <v>8.205857143</v>
      </c>
      <c r="T5" s="40">
        <v>3.0</v>
      </c>
      <c r="U5" s="14">
        <f t="shared" si="3"/>
        <v>-5.205857143</v>
      </c>
      <c r="V5" s="13"/>
      <c r="W5" s="13"/>
    </row>
    <row r="6" ht="14.25" customHeight="1">
      <c r="B6" s="42" t="s">
        <v>50</v>
      </c>
      <c r="C6" s="40">
        <v>4.0</v>
      </c>
      <c r="D6" s="14"/>
      <c r="E6" s="14"/>
      <c r="F6" s="79"/>
      <c r="G6" s="13"/>
      <c r="H6" s="23" t="s">
        <v>50</v>
      </c>
      <c r="I6" s="119">
        <v>4.0</v>
      </c>
      <c r="J6" s="79">
        <v>1.5714285714285714</v>
      </c>
      <c r="K6" s="14">
        <f t="shared" si="1"/>
        <v>2.545454545</v>
      </c>
      <c r="L6" s="13"/>
      <c r="M6" s="13"/>
      <c r="N6" s="82"/>
      <c r="O6" s="13"/>
      <c r="P6" s="8">
        <v>4.0</v>
      </c>
      <c r="Q6" s="14">
        <v>5.5725454545454545</v>
      </c>
      <c r="R6" s="79">
        <v>1.5714285714285714</v>
      </c>
      <c r="S6" s="14">
        <f t="shared" si="2"/>
        <v>8.756857143</v>
      </c>
      <c r="T6" s="40">
        <v>4.0</v>
      </c>
      <c r="U6" s="14">
        <f t="shared" si="3"/>
        <v>-4.756857143</v>
      </c>
      <c r="V6" s="13"/>
      <c r="W6" s="13"/>
    </row>
    <row r="7" ht="14.25" customHeight="1">
      <c r="B7" s="42" t="s">
        <v>51</v>
      </c>
      <c r="C7" s="40">
        <v>4.0</v>
      </c>
      <c r="D7" s="14"/>
      <c r="E7" s="14"/>
      <c r="F7" s="79"/>
      <c r="G7" s="13"/>
      <c r="H7" s="23" t="s">
        <v>51</v>
      </c>
      <c r="I7" s="119">
        <v>4.0</v>
      </c>
      <c r="J7" s="79">
        <v>1.4285714285714286</v>
      </c>
      <c r="K7" s="14">
        <f t="shared" si="1"/>
        <v>2.8</v>
      </c>
      <c r="L7" s="13"/>
      <c r="M7" s="13"/>
      <c r="N7" s="120"/>
      <c r="O7" s="13"/>
      <c r="P7" s="8">
        <v>5.0</v>
      </c>
      <c r="Q7" s="14">
        <v>5.7128</v>
      </c>
      <c r="R7" s="79">
        <v>1.4285714285714286</v>
      </c>
      <c r="S7" s="14">
        <f t="shared" si="2"/>
        <v>8.161142857</v>
      </c>
      <c r="T7" s="40">
        <v>4.0</v>
      </c>
      <c r="U7" s="14">
        <f t="shared" si="3"/>
        <v>-4.161142857</v>
      </c>
      <c r="V7" s="13"/>
      <c r="W7" s="13"/>
    </row>
    <row r="8" ht="14.25" customHeight="1">
      <c r="B8" s="42" t="s">
        <v>53</v>
      </c>
      <c r="C8" s="40">
        <v>6.0</v>
      </c>
      <c r="D8" s="14"/>
      <c r="E8" s="14"/>
      <c r="F8" s="79"/>
      <c r="G8" s="13"/>
      <c r="H8" s="23" t="s">
        <v>53</v>
      </c>
      <c r="I8" s="119">
        <v>6.0</v>
      </c>
      <c r="J8" s="79">
        <v>2.0</v>
      </c>
      <c r="K8" s="14">
        <f t="shared" si="1"/>
        <v>3</v>
      </c>
      <c r="L8" s="13"/>
      <c r="M8" s="13"/>
      <c r="N8" s="121"/>
      <c r="O8" s="13"/>
      <c r="P8" s="8">
        <v>6.0</v>
      </c>
      <c r="Q8" s="14">
        <v>5.823</v>
      </c>
      <c r="R8" s="79">
        <v>2.0</v>
      </c>
      <c r="S8" s="14">
        <f t="shared" si="2"/>
        <v>11.646</v>
      </c>
      <c r="T8" s="40">
        <v>6.0</v>
      </c>
      <c r="U8" s="14">
        <f t="shared" si="3"/>
        <v>-5.646</v>
      </c>
      <c r="V8" s="13"/>
      <c r="W8" s="13"/>
    </row>
    <row r="9" ht="14.25" customHeight="1">
      <c r="D9" s="14">
        <f>AVERAGE(C3:C20)</f>
        <v>6.666666667</v>
      </c>
      <c r="E9" s="14"/>
      <c r="F9" s="79"/>
      <c r="G9" s="13"/>
      <c r="H9" s="23" t="s">
        <v>54</v>
      </c>
      <c r="I9" s="119">
        <v>5.0</v>
      </c>
      <c r="J9" s="79">
        <v>0.42857142857142855</v>
      </c>
      <c r="K9" s="14">
        <f t="shared" si="1"/>
        <v>11.66666667</v>
      </c>
      <c r="L9" s="13"/>
      <c r="M9" s="13"/>
      <c r="N9" s="82"/>
      <c r="O9" s="13"/>
      <c r="P9" s="8">
        <v>7.0</v>
      </c>
      <c r="Q9" s="14">
        <v>10.598333333333334</v>
      </c>
      <c r="R9" s="79">
        <v>0.42857142857142855</v>
      </c>
      <c r="S9" s="14">
        <f t="shared" si="2"/>
        <v>4.542142857</v>
      </c>
      <c r="T9" s="40">
        <v>5.0</v>
      </c>
      <c r="U9" s="14">
        <f t="shared" si="3"/>
        <v>0.4578571429</v>
      </c>
      <c r="V9" s="13"/>
      <c r="W9" s="13"/>
    </row>
    <row r="10" ht="14.25" customHeight="1">
      <c r="B10" s="42" t="s">
        <v>54</v>
      </c>
      <c r="C10" s="40">
        <v>5.0</v>
      </c>
      <c r="D10" s="14"/>
      <c r="E10" s="81">
        <v>7.0</v>
      </c>
      <c r="F10" s="79">
        <f>AVERAGE(C10/E10)</f>
        <v>0.7142857143</v>
      </c>
      <c r="G10" s="13"/>
      <c r="H10" s="23" t="s">
        <v>55</v>
      </c>
      <c r="I10" s="119">
        <v>7.0</v>
      </c>
      <c r="J10" s="79">
        <v>0.2857142857142857</v>
      </c>
      <c r="K10" s="14">
        <f t="shared" si="1"/>
        <v>24.5</v>
      </c>
      <c r="L10" s="13"/>
      <c r="M10" s="13"/>
      <c r="N10" s="82"/>
      <c r="O10" s="13"/>
      <c r="P10" s="8">
        <v>8.0</v>
      </c>
      <c r="Q10" s="14">
        <v>17.6695</v>
      </c>
      <c r="R10" s="79">
        <v>0.2857142857142857</v>
      </c>
      <c r="S10" s="14">
        <f t="shared" si="2"/>
        <v>5.048428571</v>
      </c>
      <c r="T10" s="40">
        <v>7.0</v>
      </c>
      <c r="U10" s="14">
        <f t="shared" si="3"/>
        <v>1.951571429</v>
      </c>
      <c r="V10" s="13"/>
      <c r="W10" s="13"/>
    </row>
    <row r="11" ht="14.25" customHeight="1">
      <c r="B11" s="8"/>
      <c r="C11" s="8"/>
      <c r="D11" s="14">
        <f>AVERAGE(C4:C22)</f>
        <v>6.75</v>
      </c>
      <c r="E11" s="14"/>
      <c r="F11" s="79"/>
      <c r="G11" s="13"/>
      <c r="H11" s="23" t="s">
        <v>56</v>
      </c>
      <c r="I11" s="119">
        <v>11.0</v>
      </c>
      <c r="J11" s="79">
        <v>0.5714285714285714</v>
      </c>
      <c r="K11" s="14">
        <f t="shared" si="1"/>
        <v>19.25</v>
      </c>
      <c r="L11" s="13"/>
      <c r="M11" s="13"/>
      <c r="N11" s="82"/>
      <c r="O11" s="13"/>
      <c r="P11" s="8">
        <v>9.0</v>
      </c>
      <c r="Q11" s="14">
        <v>14.776750000000002</v>
      </c>
      <c r="R11" s="79">
        <v>0.5714285714285714</v>
      </c>
      <c r="S11" s="14">
        <f t="shared" si="2"/>
        <v>8.443857143</v>
      </c>
      <c r="T11" s="40">
        <v>11.0</v>
      </c>
      <c r="U11" s="14">
        <f t="shared" si="3"/>
        <v>2.556142857</v>
      </c>
      <c r="V11" s="13"/>
      <c r="W11" s="13"/>
    </row>
    <row r="12" ht="14.25" customHeight="1">
      <c r="B12" s="42" t="s">
        <v>55</v>
      </c>
      <c r="C12" s="40">
        <v>7.0</v>
      </c>
      <c r="E12" s="81">
        <v>7.0</v>
      </c>
      <c r="F12" s="79">
        <f>AVERAGE(C12/E12)</f>
        <v>1</v>
      </c>
      <c r="G12" s="13"/>
      <c r="H12" s="23" t="s">
        <v>58</v>
      </c>
      <c r="I12" s="119">
        <v>11.0</v>
      </c>
      <c r="J12" s="79">
        <v>0.7142857142857143</v>
      </c>
      <c r="K12" s="14">
        <f t="shared" si="1"/>
        <v>15.4</v>
      </c>
      <c r="L12" s="13"/>
      <c r="M12" s="13"/>
      <c r="N12" s="82"/>
      <c r="O12" s="13"/>
      <c r="P12" s="8">
        <v>10.0</v>
      </c>
      <c r="Q12" s="14">
        <v>12.6554</v>
      </c>
      <c r="R12" s="79">
        <v>0.7142857142857143</v>
      </c>
      <c r="S12" s="14">
        <f t="shared" si="2"/>
        <v>9.039571429</v>
      </c>
      <c r="T12" s="40">
        <v>11.0</v>
      </c>
      <c r="U12" s="14">
        <f t="shared" si="3"/>
        <v>1.960428571</v>
      </c>
      <c r="V12" s="13"/>
      <c r="W12" s="13"/>
    </row>
    <row r="13" ht="14.25" customHeight="1">
      <c r="B13" s="8"/>
      <c r="C13" s="8"/>
      <c r="D13" s="14">
        <f>AVERAGE(C5:C24)</f>
        <v>6.666666667</v>
      </c>
      <c r="E13" s="14"/>
      <c r="F13" s="79"/>
      <c r="G13" s="13"/>
      <c r="H13" s="23" t="s">
        <v>59</v>
      </c>
      <c r="I13" s="119">
        <v>10.0</v>
      </c>
      <c r="J13" s="79">
        <v>0.7959183673469388</v>
      </c>
      <c r="K13" s="14">
        <f t="shared" si="1"/>
        <v>12.56410256</v>
      </c>
      <c r="L13" s="13"/>
      <c r="M13" s="13"/>
      <c r="N13" s="82"/>
      <c r="O13" s="13"/>
      <c r="P13" s="8">
        <v>11.0</v>
      </c>
      <c r="Q13" s="14">
        <v>11.092820512820513</v>
      </c>
      <c r="R13" s="79">
        <v>0.7959183673469388</v>
      </c>
      <c r="S13" s="14">
        <f t="shared" si="2"/>
        <v>8.828979592</v>
      </c>
      <c r="T13" s="40">
        <v>10.0</v>
      </c>
      <c r="U13" s="14">
        <f t="shared" si="3"/>
        <v>1.171020408</v>
      </c>
      <c r="V13" s="13"/>
      <c r="W13" s="13"/>
    </row>
    <row r="14" ht="14.25" customHeight="1">
      <c r="B14" s="42" t="s">
        <v>56</v>
      </c>
      <c r="C14" s="40">
        <v>11.0</v>
      </c>
      <c r="D14" s="14"/>
      <c r="E14" s="81">
        <v>7.0</v>
      </c>
      <c r="F14" s="79">
        <f>AVERAGE(C14/E14)</f>
        <v>1.571428571</v>
      </c>
      <c r="G14" s="13"/>
      <c r="H14" s="23" t="s">
        <v>60</v>
      </c>
      <c r="I14" s="119">
        <v>14.0</v>
      </c>
      <c r="J14" s="117">
        <v>0.75</v>
      </c>
      <c r="K14" s="14">
        <f t="shared" si="1"/>
        <v>18.66666667</v>
      </c>
      <c r="L14" s="13"/>
      <c r="M14" s="83"/>
      <c r="N14" s="84"/>
      <c r="O14" s="13"/>
      <c r="P14" s="8">
        <v>12.0</v>
      </c>
      <c r="Q14" s="14">
        <v>14.455333333333336</v>
      </c>
      <c r="R14" s="117">
        <v>0.75</v>
      </c>
      <c r="S14" s="14">
        <f t="shared" si="2"/>
        <v>10.8415</v>
      </c>
      <c r="T14" s="40">
        <v>14.0</v>
      </c>
      <c r="U14" s="14">
        <f t="shared" si="3"/>
        <v>3.1585</v>
      </c>
      <c r="V14" s="13"/>
      <c r="W14" s="13"/>
    </row>
    <row r="15" ht="14.25" customHeight="1">
      <c r="B15" s="8"/>
      <c r="C15" s="8"/>
      <c r="D15" s="14">
        <f>AVERAGE(C6:C26)</f>
        <v>6.75</v>
      </c>
      <c r="E15" s="14"/>
      <c r="F15" s="79"/>
      <c r="G15" s="13"/>
      <c r="H15" s="23" t="s">
        <v>62</v>
      </c>
      <c r="I15" s="119">
        <v>3.0</v>
      </c>
      <c r="J15" s="79">
        <v>0.7142857142857143</v>
      </c>
      <c r="K15" s="14">
        <f t="shared" si="1"/>
        <v>4.2</v>
      </c>
      <c r="L15" s="13"/>
      <c r="O15" s="13"/>
      <c r="P15" s="8">
        <v>13.0</v>
      </c>
      <c r="Q15" s="14">
        <v>6.4842</v>
      </c>
      <c r="R15" s="79">
        <v>0.7142857142857143</v>
      </c>
      <c r="S15" s="14">
        <f t="shared" si="2"/>
        <v>4.631571429</v>
      </c>
      <c r="T15" s="40">
        <v>3.0</v>
      </c>
      <c r="U15" s="14">
        <f t="shared" si="3"/>
        <v>-1.631571429</v>
      </c>
      <c r="V15" s="13"/>
      <c r="W15" s="13"/>
    </row>
    <row r="16" ht="14.25" customHeight="1">
      <c r="B16" s="42" t="s">
        <v>58</v>
      </c>
      <c r="C16" s="40">
        <v>11.0</v>
      </c>
      <c r="D16" s="14"/>
      <c r="E16" s="81">
        <v>7.0</v>
      </c>
      <c r="F16" s="79">
        <f>AVERAGE(C16/E16)</f>
        <v>1.571428571</v>
      </c>
      <c r="G16" s="13"/>
      <c r="H16" s="23" t="s">
        <v>63</v>
      </c>
      <c r="I16" s="119">
        <v>2.0</v>
      </c>
      <c r="J16" s="117">
        <v>1.0</v>
      </c>
      <c r="K16" s="14">
        <f t="shared" si="1"/>
        <v>2</v>
      </c>
      <c r="L16" s="13"/>
      <c r="M16" s="83"/>
      <c r="N16" s="84"/>
      <c r="O16" s="13"/>
      <c r="P16" s="8">
        <v>14.0</v>
      </c>
      <c r="Q16" s="14">
        <v>5.272</v>
      </c>
      <c r="R16" s="117">
        <v>1.0</v>
      </c>
      <c r="S16" s="14">
        <f t="shared" si="2"/>
        <v>5.272</v>
      </c>
      <c r="T16" s="40">
        <v>2.0</v>
      </c>
      <c r="U16" s="14">
        <f t="shared" si="3"/>
        <v>-3.272</v>
      </c>
      <c r="V16" s="13"/>
      <c r="W16" s="13"/>
    </row>
    <row r="17" ht="14.25" customHeight="1">
      <c r="B17" s="8"/>
      <c r="C17" s="8"/>
      <c r="D17" s="14">
        <f>AVERAGE(C7:C28)</f>
        <v>6.833333333</v>
      </c>
      <c r="E17" s="14"/>
      <c r="F17" s="79"/>
      <c r="G17" s="13"/>
      <c r="H17" s="23" t="s">
        <v>48</v>
      </c>
      <c r="I17" s="119">
        <v>4.0</v>
      </c>
      <c r="J17" s="79">
        <v>1.5714285714285714</v>
      </c>
      <c r="K17" s="14">
        <f t="shared" si="1"/>
        <v>2.545454545</v>
      </c>
      <c r="L17" s="13"/>
      <c r="M17" s="83"/>
      <c r="N17" s="84"/>
      <c r="O17" s="13"/>
      <c r="P17" s="8">
        <v>15.0</v>
      </c>
      <c r="Q17" s="14">
        <v>5.5725454545454545</v>
      </c>
      <c r="R17" s="79">
        <v>1.5714285714285714</v>
      </c>
      <c r="S17" s="14">
        <f t="shared" si="2"/>
        <v>8.756857143</v>
      </c>
      <c r="T17" s="40">
        <v>4.0</v>
      </c>
      <c r="U17" s="14">
        <f t="shared" si="3"/>
        <v>-4.756857143</v>
      </c>
      <c r="V17" s="13"/>
      <c r="W17" s="13"/>
    </row>
    <row r="18" ht="14.25" customHeight="1">
      <c r="B18" s="42" t="s">
        <v>59</v>
      </c>
      <c r="C18" s="40">
        <v>10.0</v>
      </c>
      <c r="D18" s="14"/>
      <c r="E18" s="81">
        <v>7.0</v>
      </c>
      <c r="F18" s="79">
        <f>AVERAGE(C18/E18)</f>
        <v>1.428571429</v>
      </c>
      <c r="G18" s="13"/>
      <c r="H18" s="23" t="s">
        <v>65</v>
      </c>
      <c r="I18" s="119">
        <v>5.0</v>
      </c>
      <c r="J18" s="79">
        <v>1.5714285714285714</v>
      </c>
      <c r="K18" s="14">
        <f t="shared" si="1"/>
        <v>3.181818182</v>
      </c>
      <c r="L18" s="13"/>
      <c r="M18" s="83"/>
      <c r="N18" s="84"/>
      <c r="O18" s="13"/>
      <c r="P18" s="8">
        <v>16.0</v>
      </c>
      <c r="Q18" s="14">
        <v>5.923181818181819</v>
      </c>
      <c r="R18" s="79">
        <v>1.5714285714285714</v>
      </c>
      <c r="S18" s="14">
        <f t="shared" si="2"/>
        <v>9.307857143</v>
      </c>
      <c r="T18" s="40">
        <v>5.0</v>
      </c>
      <c r="U18" s="14">
        <f t="shared" si="3"/>
        <v>-4.307857143</v>
      </c>
      <c r="V18" s="13"/>
      <c r="W18" s="13"/>
    </row>
    <row r="19" ht="14.25" customHeight="1">
      <c r="B19" s="8"/>
      <c r="C19" s="8"/>
      <c r="D19" s="14">
        <f>AVERAGE(C8:C30)</f>
        <v>7</v>
      </c>
      <c r="E19" s="14"/>
      <c r="F19" s="79"/>
      <c r="G19" s="13"/>
      <c r="H19" s="23" t="s">
        <v>66</v>
      </c>
      <c r="I19" s="119">
        <v>6.0</v>
      </c>
      <c r="J19" s="79">
        <v>1.4285714285714286</v>
      </c>
      <c r="K19" s="14">
        <f t="shared" si="1"/>
        <v>4.2</v>
      </c>
      <c r="L19" s="13"/>
      <c r="M19" s="83"/>
      <c r="N19" s="84"/>
      <c r="O19" s="13"/>
      <c r="P19" s="8">
        <v>17.0</v>
      </c>
      <c r="Q19" s="14">
        <v>6.4842</v>
      </c>
      <c r="R19" s="79">
        <v>1.4285714285714286</v>
      </c>
      <c r="S19" s="14">
        <f t="shared" si="2"/>
        <v>9.263142857</v>
      </c>
      <c r="T19" s="40">
        <v>6.0</v>
      </c>
      <c r="U19" s="14">
        <f t="shared" si="3"/>
        <v>-3.263142857</v>
      </c>
      <c r="V19" s="13"/>
      <c r="W19" s="13"/>
    </row>
    <row r="20" ht="14.25" customHeight="1">
      <c r="B20" s="42" t="s">
        <v>60</v>
      </c>
      <c r="C20" s="40">
        <v>14.0</v>
      </c>
      <c r="D20" s="14"/>
      <c r="E20" s="81">
        <v>7.0</v>
      </c>
      <c r="F20" s="79">
        <f>AVERAGE(C20/E20)</f>
        <v>2</v>
      </c>
      <c r="G20" s="13"/>
      <c r="H20" s="23" t="s">
        <v>67</v>
      </c>
      <c r="I20" s="119">
        <v>6.0</v>
      </c>
      <c r="J20" s="79">
        <v>2.0</v>
      </c>
      <c r="K20" s="14">
        <f t="shared" si="1"/>
        <v>3</v>
      </c>
      <c r="L20" s="13"/>
      <c r="M20" s="83"/>
      <c r="N20" s="84"/>
      <c r="O20" s="13"/>
      <c r="P20" s="8">
        <v>18.0</v>
      </c>
      <c r="Q20" s="14">
        <v>5.823</v>
      </c>
      <c r="R20" s="79">
        <v>2.0</v>
      </c>
      <c r="S20" s="14">
        <f t="shared" si="2"/>
        <v>11.646</v>
      </c>
      <c r="T20" s="40">
        <v>6.0</v>
      </c>
      <c r="U20" s="14">
        <f t="shared" si="3"/>
        <v>-5.646</v>
      </c>
      <c r="V20" s="13"/>
      <c r="W20" s="13"/>
    </row>
    <row r="21" ht="14.25" customHeight="1">
      <c r="B21" s="8"/>
      <c r="C21" s="8"/>
      <c r="D21" s="14">
        <f>AVERAGE(C10:C32)</f>
        <v>7</v>
      </c>
      <c r="E21" s="14"/>
      <c r="F21" s="79"/>
      <c r="G21" s="13"/>
      <c r="H21" s="23" t="s">
        <v>68</v>
      </c>
      <c r="I21" s="119">
        <v>7.0</v>
      </c>
      <c r="J21" s="79">
        <v>0.42857142857142855</v>
      </c>
      <c r="K21" s="14">
        <f t="shared" si="1"/>
        <v>16.33333333</v>
      </c>
      <c r="L21" s="13"/>
      <c r="M21" s="83"/>
      <c r="N21" s="84"/>
      <c r="O21" s="13"/>
      <c r="P21" s="8">
        <v>19.0</v>
      </c>
      <c r="Q21" s="14">
        <v>13.169666666666668</v>
      </c>
      <c r="R21" s="79">
        <v>0.42857142857142855</v>
      </c>
      <c r="S21" s="14">
        <f t="shared" si="2"/>
        <v>5.644142857</v>
      </c>
      <c r="T21" s="40">
        <v>7.0</v>
      </c>
      <c r="U21" s="14">
        <f t="shared" si="3"/>
        <v>1.355857143</v>
      </c>
      <c r="V21" s="13"/>
      <c r="W21" s="13"/>
    </row>
    <row r="22" ht="14.25" customHeight="1">
      <c r="B22" s="42" t="s">
        <v>62</v>
      </c>
      <c r="C22" s="40">
        <v>3.0</v>
      </c>
      <c r="D22" s="14"/>
      <c r="E22" s="81">
        <v>7.0</v>
      </c>
      <c r="F22" s="79">
        <f>AVERAGE(C22/E22)</f>
        <v>0.4285714286</v>
      </c>
      <c r="G22" s="13"/>
      <c r="H22" s="23" t="s">
        <v>69</v>
      </c>
      <c r="I22" s="119">
        <v>8.0</v>
      </c>
      <c r="J22" s="79">
        <v>0.2857142857142857</v>
      </c>
      <c r="K22" s="14">
        <f t="shared" si="1"/>
        <v>28</v>
      </c>
      <c r="L22" s="13"/>
      <c r="O22" s="13"/>
      <c r="P22" s="8">
        <v>20.0</v>
      </c>
      <c r="Q22" s="14">
        <v>19.598</v>
      </c>
      <c r="R22" s="79">
        <v>0.2857142857142857</v>
      </c>
      <c r="S22" s="14">
        <f t="shared" si="2"/>
        <v>5.599428571</v>
      </c>
      <c r="T22" s="40">
        <v>8.0</v>
      </c>
      <c r="U22" s="14">
        <f t="shared" si="3"/>
        <v>2.400571429</v>
      </c>
      <c r="V22" s="13"/>
      <c r="W22" s="13"/>
    </row>
    <row r="23" ht="14.25" customHeight="1">
      <c r="B23" s="8"/>
      <c r="C23" s="8"/>
      <c r="D23" s="14">
        <f>AVERAGE(C12:C34)</f>
        <v>7.166666667</v>
      </c>
      <c r="E23" s="14"/>
      <c r="F23" s="79"/>
      <c r="G23" s="13"/>
      <c r="H23" s="23" t="s">
        <v>70</v>
      </c>
      <c r="I23" s="119">
        <v>10.0</v>
      </c>
      <c r="J23" s="79">
        <v>0.5714285714285714</v>
      </c>
      <c r="K23" s="14">
        <f t="shared" si="1"/>
        <v>17.5</v>
      </c>
      <c r="L23" s="13"/>
      <c r="M23" s="83"/>
      <c r="N23" s="84"/>
      <c r="O23" s="13"/>
      <c r="P23" s="8">
        <v>21.0</v>
      </c>
      <c r="Q23" s="14">
        <v>13.8125</v>
      </c>
      <c r="R23" s="79">
        <v>0.5714285714285714</v>
      </c>
      <c r="S23" s="14">
        <f t="shared" si="2"/>
        <v>7.892857143</v>
      </c>
      <c r="T23" s="40">
        <v>10.0</v>
      </c>
      <c r="U23" s="14">
        <f t="shared" si="3"/>
        <v>2.107142857</v>
      </c>
      <c r="V23" s="13"/>
      <c r="W23" s="13"/>
    </row>
    <row r="24" ht="14.25" customHeight="1">
      <c r="B24" s="42" t="s">
        <v>63</v>
      </c>
      <c r="C24" s="40">
        <v>2.0</v>
      </c>
      <c r="D24" s="14"/>
      <c r="E24" s="81">
        <v>7.0</v>
      </c>
      <c r="F24" s="79">
        <f>AVERAGE(C24/E24)</f>
        <v>0.2857142857</v>
      </c>
      <c r="G24" s="13"/>
      <c r="H24" s="23" t="s">
        <v>72</v>
      </c>
      <c r="I24" s="119">
        <v>11.0</v>
      </c>
      <c r="J24" s="79">
        <v>0.7142857142857143</v>
      </c>
      <c r="K24" s="14">
        <f t="shared" si="1"/>
        <v>15.4</v>
      </c>
      <c r="L24" s="13"/>
      <c r="M24" s="83"/>
      <c r="N24" s="84"/>
      <c r="O24" s="13"/>
      <c r="P24" s="8">
        <v>22.0</v>
      </c>
      <c r="Q24" s="14">
        <v>12.6554</v>
      </c>
      <c r="R24" s="79">
        <v>0.7142857142857143</v>
      </c>
      <c r="S24" s="14">
        <f t="shared" si="2"/>
        <v>9.039571429</v>
      </c>
      <c r="T24" s="40">
        <v>11.0</v>
      </c>
      <c r="U24" s="14">
        <f t="shared" si="3"/>
        <v>1.960428571</v>
      </c>
      <c r="V24" s="13"/>
      <c r="W24" s="13"/>
    </row>
    <row r="25" ht="14.25" customHeight="1">
      <c r="B25" s="8"/>
      <c r="C25" s="8"/>
      <c r="D25" s="14">
        <f>AVERAGE(C14:C35)</f>
        <v>7.25</v>
      </c>
      <c r="E25" s="14"/>
      <c r="F25" s="79"/>
      <c r="G25" s="13"/>
      <c r="H25" s="23" t="s">
        <v>73</v>
      </c>
      <c r="I25" s="119">
        <v>13.0</v>
      </c>
      <c r="J25" s="79">
        <v>0.7959183673469388</v>
      </c>
      <c r="K25" s="14">
        <f t="shared" si="1"/>
        <v>16.33333333</v>
      </c>
      <c r="L25" s="13"/>
      <c r="M25" s="83"/>
      <c r="N25" s="84"/>
      <c r="O25" s="13"/>
      <c r="P25" s="8">
        <v>23.0</v>
      </c>
      <c r="Q25" s="14">
        <v>13.169666666666666</v>
      </c>
      <c r="R25" s="79">
        <v>0.7959183673469388</v>
      </c>
      <c r="S25" s="14">
        <f t="shared" si="2"/>
        <v>10.48197959</v>
      </c>
      <c r="T25" s="40">
        <v>13.0</v>
      </c>
      <c r="U25" s="14">
        <f t="shared" si="3"/>
        <v>2.518020408</v>
      </c>
      <c r="V25" s="13"/>
      <c r="W25" s="13"/>
    </row>
    <row r="26" ht="14.25" customHeight="1">
      <c r="B26" s="42" t="s">
        <v>48</v>
      </c>
      <c r="C26" s="40">
        <v>4.0</v>
      </c>
      <c r="E26" s="81">
        <v>7.0</v>
      </c>
      <c r="F26" s="79">
        <f>AVERAGE(C26/E26)</f>
        <v>0.5714285714</v>
      </c>
      <c r="G26" s="13"/>
      <c r="H26" s="23" t="s">
        <v>74</v>
      </c>
      <c r="I26" s="119">
        <v>16.0</v>
      </c>
      <c r="J26" s="117">
        <v>0.75</v>
      </c>
      <c r="K26" s="14">
        <f t="shared" si="1"/>
        <v>21.33333333</v>
      </c>
      <c r="L26" s="13"/>
      <c r="M26" s="83"/>
      <c r="N26" s="84"/>
      <c r="O26" s="13"/>
      <c r="P26" s="8">
        <v>24.0</v>
      </c>
      <c r="Q26" s="14">
        <v>15.924666666666667</v>
      </c>
      <c r="R26" s="117">
        <v>0.75</v>
      </c>
      <c r="S26" s="14">
        <f t="shared" si="2"/>
        <v>11.9435</v>
      </c>
      <c r="T26" s="40">
        <v>16.0</v>
      </c>
      <c r="U26" s="14">
        <f t="shared" si="3"/>
        <v>4.0565</v>
      </c>
      <c r="V26" s="13"/>
      <c r="W26" s="13"/>
    </row>
    <row r="27" ht="14.25" customHeight="1">
      <c r="B27" s="8"/>
      <c r="C27" s="8"/>
      <c r="D27" s="14">
        <f>AVERAGE(C15:C36)</f>
        <v>7.166666667</v>
      </c>
      <c r="E27" s="14"/>
      <c r="F27" s="79"/>
      <c r="G27" s="13"/>
      <c r="H27" s="13"/>
      <c r="I27" s="13"/>
      <c r="J27" s="13"/>
      <c r="K27" s="13"/>
      <c r="L27" s="13"/>
      <c r="N27" s="116"/>
      <c r="O27" s="13"/>
      <c r="P27" s="17" t="s">
        <v>27</v>
      </c>
      <c r="Q27" s="3"/>
      <c r="R27" s="3"/>
      <c r="S27" s="3"/>
      <c r="T27" s="22"/>
      <c r="U27" s="14">
        <f>SUM(U2:U26)</f>
        <v>-21.89681633</v>
      </c>
      <c r="V27" s="13"/>
      <c r="W27" s="13"/>
    </row>
    <row r="28" ht="14.25" customHeight="1">
      <c r="B28" s="42" t="s">
        <v>65</v>
      </c>
      <c r="C28" s="40">
        <v>5.0</v>
      </c>
      <c r="E28" s="81">
        <v>7.0</v>
      </c>
      <c r="F28" s="79">
        <f>AVERAGE(C28/E28)</f>
        <v>0.7142857143</v>
      </c>
      <c r="G28" s="13"/>
      <c r="H28" s="13"/>
      <c r="I28" s="13"/>
      <c r="J28" s="13"/>
      <c r="K28" s="13"/>
      <c r="L28" s="13"/>
      <c r="N28" s="116"/>
      <c r="O28" s="13"/>
      <c r="P28" s="17" t="s">
        <v>9</v>
      </c>
      <c r="Q28" s="3"/>
      <c r="R28" s="3"/>
      <c r="S28" s="3"/>
      <c r="T28" s="22"/>
      <c r="U28" s="8"/>
      <c r="V28" s="13"/>
      <c r="W28" s="13"/>
    </row>
    <row r="29" ht="14.25" customHeight="1">
      <c r="B29" s="8"/>
      <c r="C29" s="8"/>
      <c r="D29" s="14">
        <f>AVERAGE(C16:C37)</f>
        <v>7.461538462</v>
      </c>
      <c r="E29" s="14"/>
      <c r="F29" s="79"/>
      <c r="G29" s="13"/>
      <c r="H29" s="13"/>
      <c r="I29" s="13"/>
      <c r="J29" s="13"/>
      <c r="K29" s="13"/>
      <c r="L29" s="13"/>
      <c r="N29" s="116"/>
      <c r="O29" s="13"/>
      <c r="P29" s="13"/>
      <c r="Q29" s="13"/>
      <c r="R29" s="13"/>
      <c r="S29" s="13"/>
      <c r="T29" s="13"/>
      <c r="U29" s="13"/>
      <c r="V29" s="13"/>
      <c r="W29" s="13"/>
    </row>
    <row r="30" ht="14.25" customHeight="1">
      <c r="B30" s="42" t="s">
        <v>66</v>
      </c>
      <c r="C30" s="40">
        <v>6.0</v>
      </c>
      <c r="E30" s="14">
        <f>AVERAGE(D29:D31)</f>
        <v>7.538461538</v>
      </c>
      <c r="F30" s="79">
        <f>AVERAGE(C30/E30)</f>
        <v>0.7959183673</v>
      </c>
      <c r="G30" s="13"/>
      <c r="H30" s="13"/>
      <c r="I30" s="13"/>
      <c r="J30" s="13"/>
      <c r="K30" s="13"/>
      <c r="L30" s="13"/>
      <c r="N30" s="119"/>
      <c r="O30" s="13"/>
      <c r="P30" s="13"/>
      <c r="Q30" s="13"/>
      <c r="R30" s="13"/>
      <c r="S30" s="13"/>
      <c r="T30" s="13"/>
      <c r="U30" s="13"/>
      <c r="V30" s="13"/>
      <c r="W30" s="13"/>
    </row>
    <row r="31" ht="14.25" customHeight="1">
      <c r="B31" s="8"/>
      <c r="C31" s="8"/>
      <c r="D31" s="14">
        <f>AVERAGE(C17:C38)</f>
        <v>7.615384615</v>
      </c>
      <c r="E31" s="14"/>
      <c r="F31" s="79"/>
      <c r="G31" s="13"/>
      <c r="H31" s="13"/>
      <c r="I31" s="13"/>
      <c r="J31" s="13"/>
      <c r="K31" s="13"/>
      <c r="L31" s="13"/>
      <c r="N31" s="119"/>
      <c r="O31" s="13"/>
      <c r="P31" s="13"/>
      <c r="Q31" s="13"/>
      <c r="R31" s="13"/>
      <c r="S31" s="13"/>
      <c r="T31" s="13"/>
      <c r="U31" s="13"/>
      <c r="V31" s="13"/>
      <c r="W31" s="13"/>
    </row>
    <row r="32" ht="14.25" customHeight="1">
      <c r="B32" s="42" t="s">
        <v>67</v>
      </c>
      <c r="C32" s="40">
        <v>6.0</v>
      </c>
      <c r="E32" s="81">
        <v>8.0</v>
      </c>
      <c r="F32" s="79">
        <f>AVERAGE(C32/E32)</f>
        <v>0.75</v>
      </c>
      <c r="G32" s="13"/>
      <c r="H32" s="13"/>
      <c r="I32" s="13"/>
      <c r="J32" s="13"/>
      <c r="K32" s="13"/>
      <c r="L32" s="13"/>
      <c r="N32" s="119"/>
      <c r="O32" s="13"/>
      <c r="P32" s="13"/>
      <c r="Q32" s="13"/>
      <c r="R32" s="13"/>
      <c r="S32" s="13"/>
      <c r="T32" s="13"/>
      <c r="U32" s="13"/>
      <c r="V32" s="13"/>
      <c r="W32" s="13"/>
    </row>
    <row r="33" ht="14.25" customHeight="1">
      <c r="D33" s="14">
        <f>AVERAGE(C18:C39)</f>
        <v>8.214285714</v>
      </c>
      <c r="E33" s="14"/>
      <c r="F33" s="79"/>
      <c r="G33" s="13"/>
      <c r="H33" s="13"/>
      <c r="I33" s="13"/>
      <c r="J33" s="13"/>
      <c r="K33" s="13"/>
      <c r="L33" s="13"/>
      <c r="N33" s="119"/>
      <c r="O33" s="13"/>
      <c r="P33" s="13"/>
      <c r="Q33" s="13"/>
      <c r="R33" s="13"/>
      <c r="S33" s="13"/>
      <c r="T33" s="13"/>
      <c r="U33" s="13"/>
      <c r="V33" s="13"/>
      <c r="W33" s="13"/>
    </row>
    <row r="34" ht="14.25" customHeight="1">
      <c r="B34" s="42" t="s">
        <v>68</v>
      </c>
      <c r="C34" s="40">
        <v>7.0</v>
      </c>
      <c r="E34" s="14"/>
      <c r="F34" s="79"/>
      <c r="G34" s="13"/>
      <c r="H34" s="13"/>
      <c r="I34" s="13"/>
      <c r="J34" s="13"/>
      <c r="K34" s="13"/>
      <c r="L34" s="13"/>
      <c r="N34" s="119"/>
      <c r="O34" s="13"/>
      <c r="P34" s="13"/>
      <c r="Q34" s="13"/>
      <c r="R34" s="13"/>
      <c r="S34" s="13"/>
      <c r="T34" s="13"/>
      <c r="U34" s="13"/>
      <c r="V34" s="13"/>
      <c r="W34" s="13"/>
    </row>
    <row r="35" ht="14.25" customHeight="1">
      <c r="B35" s="42" t="s">
        <v>69</v>
      </c>
      <c r="C35" s="40">
        <v>8.0</v>
      </c>
      <c r="D35" s="14"/>
      <c r="E35" s="14"/>
      <c r="F35" s="79"/>
      <c r="G35" s="13"/>
      <c r="H35" s="13"/>
      <c r="I35" s="13"/>
      <c r="J35" s="13"/>
      <c r="K35" s="13"/>
      <c r="L35" s="13"/>
      <c r="N35" s="119"/>
      <c r="O35" s="13"/>
      <c r="P35" s="13"/>
      <c r="Q35" s="13"/>
      <c r="R35" s="13"/>
      <c r="S35" s="13"/>
      <c r="T35" s="13"/>
      <c r="U35" s="13"/>
      <c r="V35" s="13"/>
      <c r="W35" s="13"/>
    </row>
    <row r="36" ht="14.25" customHeight="1">
      <c r="B36" s="42" t="s">
        <v>70</v>
      </c>
      <c r="C36" s="40">
        <v>10.0</v>
      </c>
      <c r="D36" s="14"/>
      <c r="E36" s="14"/>
      <c r="F36" s="79"/>
      <c r="G36" s="13"/>
      <c r="H36" s="13"/>
      <c r="I36" s="13"/>
      <c r="J36" s="13"/>
      <c r="K36" s="13"/>
      <c r="L36" s="13"/>
      <c r="N36" s="119"/>
      <c r="O36" s="13"/>
      <c r="P36" s="13"/>
      <c r="Q36" s="13"/>
      <c r="R36" s="13"/>
      <c r="S36" s="13"/>
      <c r="T36" s="13"/>
      <c r="U36" s="13"/>
      <c r="V36" s="13"/>
      <c r="W36" s="13"/>
    </row>
    <row r="37" ht="14.25" customHeight="1">
      <c r="B37" s="42" t="s">
        <v>72</v>
      </c>
      <c r="C37" s="40">
        <v>11.0</v>
      </c>
      <c r="D37" s="14"/>
      <c r="E37" s="14"/>
      <c r="F37" s="79"/>
      <c r="G37" s="13"/>
      <c r="H37" s="13"/>
      <c r="I37" s="13"/>
      <c r="J37" s="13"/>
      <c r="K37" s="13"/>
      <c r="L37" s="13"/>
      <c r="N37" s="119"/>
      <c r="O37" s="13"/>
      <c r="P37" s="13"/>
      <c r="Q37" s="13"/>
      <c r="R37" s="13"/>
      <c r="S37" s="13"/>
      <c r="T37" s="13"/>
      <c r="U37" s="13"/>
      <c r="V37" s="13"/>
      <c r="W37" s="13"/>
    </row>
    <row r="38" ht="14.25" customHeight="1">
      <c r="B38" s="42" t="s">
        <v>73</v>
      </c>
      <c r="C38" s="73">
        <v>13.0</v>
      </c>
      <c r="D38" s="14"/>
      <c r="E38" s="14"/>
      <c r="F38" s="79"/>
      <c r="G38" s="13"/>
      <c r="H38" s="13"/>
      <c r="I38" s="13"/>
      <c r="J38" s="13"/>
      <c r="K38" s="13"/>
      <c r="L38" s="13"/>
      <c r="N38" s="119"/>
      <c r="O38" s="83"/>
      <c r="P38" s="84"/>
      <c r="Q38" s="13"/>
      <c r="R38" s="13"/>
      <c r="S38" s="13"/>
      <c r="T38" s="13"/>
      <c r="U38" s="13"/>
      <c r="V38" s="13"/>
      <c r="W38" s="13"/>
    </row>
    <row r="39" ht="14.25" customHeight="1">
      <c r="B39" s="42" t="s">
        <v>74</v>
      </c>
      <c r="C39" s="73">
        <v>16.0</v>
      </c>
      <c r="D39" s="14"/>
      <c r="E39" s="14"/>
      <c r="F39" s="79"/>
      <c r="G39" s="13"/>
      <c r="H39" s="13"/>
      <c r="I39" s="13"/>
      <c r="J39" s="13"/>
      <c r="K39" s="13"/>
      <c r="L39" s="13"/>
      <c r="N39" s="119"/>
      <c r="O39" s="83"/>
      <c r="P39" s="84"/>
      <c r="Q39" s="13"/>
      <c r="R39" s="13"/>
      <c r="S39" s="13"/>
      <c r="T39" s="13"/>
      <c r="U39" s="13"/>
      <c r="V39" s="13"/>
      <c r="W39" s="13"/>
    </row>
    <row r="40" ht="14.25" customHeight="1">
      <c r="D40" s="14"/>
      <c r="E40" s="14"/>
      <c r="F40" s="79"/>
      <c r="G40" s="13"/>
      <c r="H40" s="13"/>
      <c r="I40" s="13"/>
      <c r="J40" s="13"/>
      <c r="K40" s="13"/>
      <c r="L40" s="13"/>
      <c r="N40" s="119"/>
      <c r="O40" s="83"/>
      <c r="P40" s="84"/>
      <c r="Q40" s="13"/>
      <c r="R40" s="13"/>
      <c r="S40" s="13"/>
      <c r="T40" s="13"/>
      <c r="U40" s="13"/>
      <c r="V40" s="13"/>
      <c r="W40" s="13"/>
    </row>
    <row r="41" ht="14.25" customHeight="1">
      <c r="D41" s="14"/>
      <c r="E41" s="14"/>
      <c r="F41" s="79"/>
      <c r="G41" s="13"/>
      <c r="H41" s="13"/>
      <c r="I41" s="13"/>
      <c r="J41" s="13"/>
      <c r="K41" s="13"/>
      <c r="L41" s="13"/>
      <c r="N41" s="119"/>
      <c r="O41" s="83"/>
      <c r="P41" s="84"/>
      <c r="Q41" s="13"/>
      <c r="R41" s="13"/>
      <c r="S41" s="13"/>
      <c r="T41" s="13"/>
      <c r="U41" s="13"/>
      <c r="V41" s="13"/>
      <c r="W41" s="13"/>
    </row>
    <row r="42" ht="14.25" customHeight="1">
      <c r="D42" s="14"/>
      <c r="E42" s="14"/>
      <c r="F42" s="79"/>
      <c r="G42" s="13"/>
      <c r="H42" s="13"/>
      <c r="I42" s="13"/>
      <c r="J42" s="13"/>
      <c r="K42" s="13"/>
      <c r="L42" s="13"/>
      <c r="N42" s="119"/>
      <c r="O42" s="83"/>
      <c r="P42" s="84"/>
      <c r="Q42" s="13"/>
      <c r="R42" s="13"/>
      <c r="S42" s="13"/>
      <c r="T42" s="13"/>
      <c r="U42" s="13"/>
      <c r="V42" s="13"/>
      <c r="W42" s="13"/>
    </row>
    <row r="43" ht="14.25" customHeight="1">
      <c r="D43" s="14"/>
      <c r="E43" s="14"/>
      <c r="F43" s="79"/>
      <c r="G43" s="13"/>
      <c r="H43" s="13"/>
      <c r="I43" s="13"/>
      <c r="J43" s="13"/>
      <c r="K43" s="13"/>
      <c r="L43" s="13"/>
      <c r="N43" s="119"/>
      <c r="O43" s="83"/>
      <c r="P43" s="84"/>
      <c r="Q43" s="13"/>
      <c r="R43" s="13"/>
      <c r="S43" s="13"/>
      <c r="T43" s="13"/>
      <c r="U43" s="13"/>
      <c r="V43" s="13"/>
      <c r="W43" s="13"/>
    </row>
    <row r="44" ht="14.25" customHeight="1">
      <c r="D44" s="14"/>
      <c r="E44" s="14"/>
      <c r="F44" s="79"/>
      <c r="G44" s="13"/>
      <c r="H44" s="13"/>
      <c r="I44" s="13"/>
      <c r="J44" s="13"/>
      <c r="K44" s="13"/>
      <c r="L44" s="13"/>
      <c r="N44" s="119"/>
      <c r="O44" s="13"/>
      <c r="P44" s="13"/>
      <c r="Q44" s="13"/>
      <c r="R44" s="13"/>
      <c r="S44" s="13"/>
      <c r="T44" s="13"/>
      <c r="U44" s="13"/>
      <c r="V44" s="13"/>
      <c r="W44" s="13"/>
    </row>
    <row r="45" ht="14.25" customHeight="1">
      <c r="D45" s="14"/>
      <c r="E45" s="14"/>
      <c r="F45" s="79"/>
      <c r="G45" s="13"/>
      <c r="H45" s="13"/>
      <c r="I45" s="13"/>
      <c r="J45" s="13"/>
      <c r="K45" s="13"/>
      <c r="L45" s="13"/>
      <c r="N45" s="119"/>
      <c r="O45" s="13"/>
      <c r="P45" s="13"/>
      <c r="Q45" s="13"/>
      <c r="R45" s="13"/>
      <c r="S45" s="13"/>
      <c r="T45" s="13"/>
      <c r="U45" s="13"/>
      <c r="V45" s="13"/>
      <c r="W45" s="13"/>
    </row>
    <row r="46" ht="14.25" customHeight="1">
      <c r="B46" s="122"/>
      <c r="C46" s="123"/>
      <c r="D46" s="49"/>
      <c r="E46" s="49"/>
      <c r="F46" s="49"/>
      <c r="N46" s="119"/>
    </row>
    <row r="47" ht="14.25" customHeight="1">
      <c r="B47" s="23"/>
      <c r="C47" s="124"/>
      <c r="N47" s="119"/>
    </row>
    <row r="48" ht="14.25" customHeight="1">
      <c r="N48" s="119"/>
    </row>
    <row r="49" ht="14.25" customHeight="1">
      <c r="N49" s="119"/>
    </row>
    <row r="50" ht="14.25" customHeight="1">
      <c r="N50" s="119"/>
    </row>
    <row r="51" ht="14.25" customHeight="1"/>
    <row r="52" ht="14.25" customHeight="1"/>
    <row r="53" ht="14.25" customHeight="1"/>
    <row r="54" ht="14.25" customHeight="1">
      <c r="B54" s="87"/>
      <c r="C54" s="87"/>
      <c r="D54" s="87"/>
      <c r="E54" s="87"/>
      <c r="F54" s="87"/>
      <c r="G54" s="87"/>
      <c r="H54" s="87"/>
      <c r="I54" s="87"/>
      <c r="J54" s="87"/>
    </row>
    <row r="55" ht="14.25" customHeight="1">
      <c r="B55" s="87"/>
      <c r="C55" s="87"/>
      <c r="D55" s="87"/>
      <c r="E55" s="87"/>
      <c r="F55" s="87"/>
      <c r="G55" s="87"/>
      <c r="H55" s="87"/>
      <c r="I55" s="87"/>
      <c r="J55" s="87"/>
    </row>
    <row r="56" ht="14.25" customHeight="1"/>
    <row r="57" ht="14.25" customHeight="1"/>
    <row r="58" ht="14.25" customHeight="1">
      <c r="B58" s="7">
        <v>1.0</v>
      </c>
      <c r="C58" s="15">
        <v>598.0</v>
      </c>
    </row>
    <row r="59" ht="14.25" customHeight="1">
      <c r="B59" s="7">
        <v>2.0</v>
      </c>
      <c r="C59" s="15">
        <v>648.0</v>
      </c>
    </row>
    <row r="60" ht="14.25" customHeight="1">
      <c r="B60" s="7">
        <v>3.0</v>
      </c>
      <c r="C60" s="15">
        <v>556.0</v>
      </c>
    </row>
    <row r="61" ht="14.25" customHeight="1">
      <c r="B61" s="7">
        <v>4.0</v>
      </c>
      <c r="C61" s="15">
        <v>522.0</v>
      </c>
    </row>
    <row r="62" ht="14.25" customHeight="1">
      <c r="B62" s="7">
        <v>5.0</v>
      </c>
      <c r="C62" s="15">
        <v>604.0</v>
      </c>
    </row>
    <row r="63" ht="14.25" customHeight="1">
      <c r="B63" s="7">
        <v>6.0</v>
      </c>
      <c r="C63" s="15">
        <v>615.0</v>
      </c>
    </row>
    <row r="64" ht="14.25" customHeight="1">
      <c r="B64" s="7">
        <v>7.0</v>
      </c>
      <c r="C64" s="15">
        <v>551.0</v>
      </c>
    </row>
    <row r="65" ht="14.25" customHeight="1">
      <c r="B65" s="7">
        <v>8.0</v>
      </c>
      <c r="C65" s="15">
        <v>525.0</v>
      </c>
    </row>
    <row r="66" ht="14.25" customHeight="1">
      <c r="B66" s="7">
        <v>9.0</v>
      </c>
      <c r="C66" s="15">
        <v>583.0</v>
      </c>
    </row>
    <row r="67" ht="14.25" customHeight="1">
      <c r="B67" s="7">
        <v>10.0</v>
      </c>
      <c r="C67" s="15">
        <v>618.0</v>
      </c>
    </row>
    <row r="68" ht="14.25" customHeight="1">
      <c r="B68" s="7">
        <v>11.0</v>
      </c>
      <c r="C68" s="15">
        <v>558.0</v>
      </c>
    </row>
    <row r="69" ht="14.25" customHeight="1">
      <c r="B69" s="7">
        <v>12.0</v>
      </c>
      <c r="C69" s="15">
        <v>528.0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K$2:$K$26"/>
  <mergeCells count="6">
    <mergeCell ref="B1:F1"/>
    <mergeCell ref="H1:K1"/>
    <mergeCell ref="M1:N1"/>
    <mergeCell ref="P1:U1"/>
    <mergeCell ref="P27:T27"/>
    <mergeCell ref="P28:T28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4" width="8.71"/>
    <col customWidth="1" min="5" max="5" width="12.0"/>
    <col customWidth="1" min="6" max="7" width="8.71"/>
    <col customWidth="1" min="8" max="8" width="18.86"/>
    <col customWidth="1" min="9" max="12" width="8.71"/>
    <col customWidth="1" min="13" max="13" width="12.0"/>
    <col customWidth="1" min="14" max="14" width="8.71"/>
    <col customWidth="1" min="15" max="15" width="12.0"/>
    <col customWidth="1" min="16" max="26" width="8.71"/>
  </cols>
  <sheetData>
    <row r="1" ht="14.25" customHeight="1">
      <c r="B1" s="10" t="s">
        <v>76</v>
      </c>
      <c r="C1" s="77"/>
      <c r="D1" s="77"/>
      <c r="E1" s="77"/>
      <c r="F1" s="78"/>
      <c r="G1" s="13"/>
      <c r="H1" s="10" t="s">
        <v>112</v>
      </c>
      <c r="I1" s="77"/>
      <c r="J1" s="77"/>
      <c r="K1" s="78"/>
      <c r="L1" s="13"/>
      <c r="M1" s="13"/>
      <c r="O1" s="13"/>
      <c r="P1" s="10" t="s">
        <v>101</v>
      </c>
      <c r="Q1" s="77"/>
      <c r="R1" s="77"/>
      <c r="S1" s="77"/>
      <c r="T1" s="77"/>
      <c r="U1" s="78"/>
      <c r="V1" s="13"/>
      <c r="W1" s="13"/>
    </row>
    <row r="2" ht="14.25" customHeight="1">
      <c r="B2" s="8" t="s">
        <v>1</v>
      </c>
      <c r="C2" s="8" t="s">
        <v>2</v>
      </c>
      <c r="D2" s="8" t="s">
        <v>78</v>
      </c>
      <c r="E2" s="8" t="s">
        <v>79</v>
      </c>
      <c r="F2" s="8" t="s">
        <v>80</v>
      </c>
      <c r="G2" s="13"/>
      <c r="H2" s="6" t="s">
        <v>1</v>
      </c>
      <c r="I2" s="6" t="s">
        <v>99</v>
      </c>
      <c r="J2" s="6" t="s">
        <v>80</v>
      </c>
      <c r="K2" s="6" t="s">
        <v>111</v>
      </c>
      <c r="L2" s="13"/>
      <c r="M2" s="13"/>
      <c r="N2" s="82"/>
      <c r="O2" s="13"/>
      <c r="P2" s="6" t="s">
        <v>1</v>
      </c>
      <c r="Q2" s="6" t="s">
        <v>111</v>
      </c>
      <c r="R2" s="6" t="s">
        <v>80</v>
      </c>
      <c r="S2" s="6" t="s">
        <v>106</v>
      </c>
      <c r="T2" s="6" t="s">
        <v>99</v>
      </c>
      <c r="U2" s="6" t="s">
        <v>4</v>
      </c>
      <c r="V2" s="13"/>
      <c r="W2" s="13"/>
    </row>
    <row r="3" ht="14.25" customHeight="1">
      <c r="B3" s="42" t="s">
        <v>44</v>
      </c>
      <c r="C3" s="64">
        <v>6.0</v>
      </c>
      <c r="D3" s="14"/>
      <c r="E3" s="14"/>
      <c r="F3" s="79"/>
      <c r="G3" s="13"/>
      <c r="H3" s="23" t="s">
        <v>44</v>
      </c>
      <c r="I3" s="116">
        <v>2.0</v>
      </c>
      <c r="J3" s="79">
        <v>0.7142857142857143</v>
      </c>
      <c r="K3" s="14">
        <f t="shared" ref="K3:K26" si="1">I3/J3</f>
        <v>2.8</v>
      </c>
      <c r="L3" s="13"/>
      <c r="M3" s="13"/>
      <c r="N3" s="82"/>
      <c r="O3" s="13"/>
      <c r="P3" s="8">
        <v>1.0</v>
      </c>
      <c r="Q3" s="40">
        <v>2.0</v>
      </c>
      <c r="R3" s="79">
        <v>0.7895467801655953</v>
      </c>
      <c r="S3" s="14">
        <f t="shared" ref="S3:S26" si="2">Q3*R3</f>
        <v>1.57909356</v>
      </c>
      <c r="T3" s="8">
        <v>1083.0</v>
      </c>
      <c r="U3" s="14">
        <f t="shared" ref="U3:U26" si="3">T3-S3</f>
        <v>1081.420906</v>
      </c>
      <c r="V3" s="13"/>
      <c r="W3" s="13"/>
    </row>
    <row r="4" ht="14.25" customHeight="1">
      <c r="B4" s="42" t="s">
        <v>46</v>
      </c>
      <c r="C4" s="64">
        <v>9.0</v>
      </c>
      <c r="D4" s="14"/>
      <c r="E4" s="14"/>
      <c r="F4" s="79"/>
      <c r="G4" s="13"/>
      <c r="H4" s="23" t="s">
        <v>46</v>
      </c>
      <c r="I4" s="116">
        <v>3.0</v>
      </c>
      <c r="J4" s="117">
        <v>1.0</v>
      </c>
      <c r="K4" s="14">
        <f t="shared" si="1"/>
        <v>3</v>
      </c>
      <c r="L4" s="13"/>
      <c r="M4" s="13"/>
      <c r="N4" s="118"/>
      <c r="O4" s="13"/>
      <c r="P4" s="8">
        <v>2.0</v>
      </c>
      <c r="Q4" s="40">
        <v>3.0</v>
      </c>
      <c r="R4" s="79">
        <v>0.9149093318371708</v>
      </c>
      <c r="S4" s="14">
        <f t="shared" si="2"/>
        <v>2.744727996</v>
      </c>
      <c r="T4" s="8">
        <v>1460.0</v>
      </c>
      <c r="U4" s="14">
        <f t="shared" si="3"/>
        <v>1457.255272</v>
      </c>
      <c r="V4" s="13"/>
      <c r="W4" s="13"/>
    </row>
    <row r="5" ht="14.25" customHeight="1">
      <c r="B5" s="42" t="s">
        <v>48</v>
      </c>
      <c r="C5" s="64">
        <v>8.0</v>
      </c>
      <c r="D5" s="14"/>
      <c r="E5" s="14"/>
      <c r="F5" s="79"/>
      <c r="G5" s="13"/>
      <c r="H5" s="23" t="s">
        <v>48</v>
      </c>
      <c r="I5" s="116">
        <v>3.0</v>
      </c>
      <c r="J5" s="79">
        <v>1.5714285714285714</v>
      </c>
      <c r="K5" s="14">
        <f t="shared" si="1"/>
        <v>1.909090909</v>
      </c>
      <c r="L5" s="13"/>
      <c r="M5" s="13"/>
      <c r="N5" s="82"/>
      <c r="O5" s="13"/>
      <c r="P5" s="8">
        <v>3.0</v>
      </c>
      <c r="Q5" s="40">
        <v>3.0</v>
      </c>
      <c r="R5" s="79">
        <v>1.060263330324526</v>
      </c>
      <c r="S5" s="14">
        <f t="shared" si="2"/>
        <v>3.180789991</v>
      </c>
      <c r="T5" s="8">
        <v>2109.0</v>
      </c>
      <c r="U5" s="14">
        <f t="shared" si="3"/>
        <v>2105.81921</v>
      </c>
      <c r="V5" s="13"/>
      <c r="W5" s="13"/>
    </row>
    <row r="6" ht="14.25" customHeight="1">
      <c r="B6" s="42" t="s">
        <v>50</v>
      </c>
      <c r="C6" s="64">
        <v>10.0</v>
      </c>
      <c r="D6" s="14"/>
      <c r="E6" s="14"/>
      <c r="F6" s="79"/>
      <c r="G6" s="13"/>
      <c r="H6" s="23" t="s">
        <v>50</v>
      </c>
      <c r="I6" s="119">
        <v>4.0</v>
      </c>
      <c r="J6" s="79">
        <v>1.5714285714285714</v>
      </c>
      <c r="K6" s="14">
        <f t="shared" si="1"/>
        <v>2.545454545</v>
      </c>
      <c r="L6" s="13"/>
      <c r="M6" s="13"/>
      <c r="N6" s="82"/>
      <c r="O6" s="13"/>
      <c r="P6" s="8">
        <v>4.0</v>
      </c>
      <c r="Q6" s="40">
        <v>4.0</v>
      </c>
      <c r="R6" s="79">
        <v>1.1841768955782201</v>
      </c>
      <c r="S6" s="14">
        <f t="shared" si="2"/>
        <v>4.736707582</v>
      </c>
      <c r="T6" s="8">
        <v>2717.0</v>
      </c>
      <c r="U6" s="14">
        <f t="shared" si="3"/>
        <v>2712.263292</v>
      </c>
      <c r="V6" s="13"/>
      <c r="W6" s="13"/>
    </row>
    <row r="7" ht="14.25" customHeight="1">
      <c r="B7" s="42" t="s">
        <v>51</v>
      </c>
      <c r="C7" s="64">
        <v>9.0</v>
      </c>
      <c r="D7" s="14"/>
      <c r="E7" s="14"/>
      <c r="F7" s="79"/>
      <c r="G7" s="13"/>
      <c r="H7" s="23" t="s">
        <v>51</v>
      </c>
      <c r="I7" s="119">
        <v>4.0</v>
      </c>
      <c r="J7" s="79">
        <v>1.4285714285714286</v>
      </c>
      <c r="K7" s="14">
        <f t="shared" si="1"/>
        <v>2.8</v>
      </c>
      <c r="L7" s="13"/>
      <c r="M7" s="13"/>
      <c r="N7" s="120"/>
      <c r="O7" s="13"/>
      <c r="P7" s="8">
        <v>5.0</v>
      </c>
      <c r="Q7" s="40">
        <v>4.0</v>
      </c>
      <c r="R7" s="79">
        <v>1.141515714199894</v>
      </c>
      <c r="S7" s="14">
        <f t="shared" si="2"/>
        <v>4.566062857</v>
      </c>
      <c r="T7" s="8">
        <v>2801.0</v>
      </c>
      <c r="U7" s="14">
        <f t="shared" si="3"/>
        <v>2796.433937</v>
      </c>
      <c r="V7" s="13"/>
      <c r="W7" s="13"/>
    </row>
    <row r="8" ht="14.25" customHeight="1">
      <c r="B8" s="42" t="s">
        <v>53</v>
      </c>
      <c r="C8" s="64">
        <v>13.0</v>
      </c>
      <c r="D8" s="14"/>
      <c r="E8" s="14"/>
      <c r="F8" s="79"/>
      <c r="G8" s="13"/>
      <c r="H8" s="23" t="s">
        <v>53</v>
      </c>
      <c r="I8" s="119">
        <v>6.0</v>
      </c>
      <c r="J8" s="79">
        <v>2.0</v>
      </c>
      <c r="K8" s="14">
        <f t="shared" si="1"/>
        <v>3</v>
      </c>
      <c r="L8" s="13"/>
      <c r="M8" s="13"/>
      <c r="N8" s="121"/>
      <c r="O8" s="13"/>
      <c r="P8" s="8">
        <v>6.0</v>
      </c>
      <c r="Q8" s="40">
        <v>6.0</v>
      </c>
      <c r="R8" s="79">
        <v>0.9203638602555372</v>
      </c>
      <c r="S8" s="14">
        <f t="shared" si="2"/>
        <v>5.522183162</v>
      </c>
      <c r="T8" s="8">
        <v>2503.0</v>
      </c>
      <c r="U8" s="14">
        <f t="shared" si="3"/>
        <v>2497.477817</v>
      </c>
      <c r="V8" s="13"/>
      <c r="W8" s="13"/>
    </row>
    <row r="9" ht="14.25" customHeight="1">
      <c r="D9" s="14">
        <f>AVERAGE(C3:C20)</f>
        <v>14.16666667</v>
      </c>
      <c r="E9" s="14"/>
      <c r="F9" s="79"/>
      <c r="G9" s="13"/>
      <c r="H9" s="23" t="s">
        <v>54</v>
      </c>
      <c r="I9" s="119">
        <v>5.0</v>
      </c>
      <c r="J9" s="79">
        <v>0.42857142857142855</v>
      </c>
      <c r="K9" s="14">
        <f t="shared" si="1"/>
        <v>11.66666667</v>
      </c>
      <c r="L9" s="13"/>
      <c r="M9" s="13"/>
      <c r="N9" s="82"/>
      <c r="O9" s="13"/>
      <c r="P9" s="8">
        <v>7.0</v>
      </c>
      <c r="Q9" s="40">
        <v>5.0</v>
      </c>
      <c r="R9" s="79">
        <v>0.7895467801655953</v>
      </c>
      <c r="S9" s="14">
        <f t="shared" si="2"/>
        <v>3.947733901</v>
      </c>
      <c r="T9" s="8">
        <v>2381.0</v>
      </c>
      <c r="U9" s="14">
        <f t="shared" si="3"/>
        <v>2377.052266</v>
      </c>
      <c r="V9" s="13"/>
      <c r="W9" s="13"/>
    </row>
    <row r="10" ht="14.25" customHeight="1">
      <c r="B10" s="42" t="s">
        <v>54</v>
      </c>
      <c r="C10" s="40">
        <v>13.0</v>
      </c>
      <c r="D10" s="14"/>
      <c r="E10" s="81">
        <v>7.0</v>
      </c>
      <c r="F10" s="79">
        <f>AVERAGE(C10/E10)</f>
        <v>1.857142857</v>
      </c>
      <c r="G10" s="13"/>
      <c r="H10" s="23" t="s">
        <v>55</v>
      </c>
      <c r="I10" s="119">
        <v>7.0</v>
      </c>
      <c r="J10" s="79">
        <v>0.2857142857142857</v>
      </c>
      <c r="K10" s="14">
        <f t="shared" si="1"/>
        <v>24.5</v>
      </c>
      <c r="L10" s="13"/>
      <c r="M10" s="13"/>
      <c r="N10" s="82"/>
      <c r="O10" s="13"/>
      <c r="P10" s="8">
        <v>8.0</v>
      </c>
      <c r="Q10" s="40">
        <v>7.0</v>
      </c>
      <c r="R10" s="79">
        <v>0.9149093318371708</v>
      </c>
      <c r="S10" s="14">
        <f t="shared" si="2"/>
        <v>6.404365323</v>
      </c>
      <c r="T10" s="8">
        <v>3154.0</v>
      </c>
      <c r="U10" s="14">
        <f t="shared" si="3"/>
        <v>3147.595635</v>
      </c>
      <c r="V10" s="13"/>
      <c r="W10" s="13"/>
    </row>
    <row r="11" ht="14.25" customHeight="1">
      <c r="B11" s="8"/>
      <c r="C11" s="8"/>
      <c r="D11" s="14">
        <f>AVERAGE(C4:C22)</f>
        <v>14.33333333</v>
      </c>
      <c r="E11" s="14"/>
      <c r="F11" s="79"/>
      <c r="G11" s="13"/>
      <c r="H11" s="23" t="s">
        <v>56</v>
      </c>
      <c r="I11" s="119">
        <v>11.0</v>
      </c>
      <c r="J11" s="79">
        <v>0.5714285714285714</v>
      </c>
      <c r="K11" s="14">
        <f t="shared" si="1"/>
        <v>19.25</v>
      </c>
      <c r="L11" s="13"/>
      <c r="M11" s="13"/>
      <c r="N11" s="82"/>
      <c r="O11" s="13"/>
      <c r="P11" s="8">
        <v>9.0</v>
      </c>
      <c r="Q11" s="40">
        <v>11.0</v>
      </c>
      <c r="R11" s="79">
        <v>1.060263330324526</v>
      </c>
      <c r="S11" s="14">
        <f t="shared" si="2"/>
        <v>11.66289663</v>
      </c>
      <c r="T11" s="8">
        <v>3969.0</v>
      </c>
      <c r="U11" s="14">
        <f t="shared" si="3"/>
        <v>3957.337103</v>
      </c>
      <c r="V11" s="13"/>
      <c r="W11" s="13"/>
    </row>
    <row r="12" ht="14.25" customHeight="1">
      <c r="B12" s="42" t="s">
        <v>55</v>
      </c>
      <c r="C12" s="40">
        <v>16.0</v>
      </c>
      <c r="E12" s="81">
        <v>7.0</v>
      </c>
      <c r="F12" s="79">
        <f>AVERAGE(C12/E12)</f>
        <v>2.285714286</v>
      </c>
      <c r="G12" s="13"/>
      <c r="H12" s="23" t="s">
        <v>58</v>
      </c>
      <c r="I12" s="119">
        <v>11.0</v>
      </c>
      <c r="J12" s="79">
        <v>0.7142857142857143</v>
      </c>
      <c r="K12" s="14">
        <f t="shared" si="1"/>
        <v>15.4</v>
      </c>
      <c r="L12" s="13"/>
      <c r="M12" s="13"/>
      <c r="N12" s="82"/>
      <c r="O12" s="13"/>
      <c r="P12" s="8">
        <v>10.0</v>
      </c>
      <c r="Q12" s="40">
        <v>11.0</v>
      </c>
      <c r="R12" s="79">
        <v>1.1841768955782201</v>
      </c>
      <c r="S12" s="14">
        <f t="shared" si="2"/>
        <v>13.02594585</v>
      </c>
      <c r="T12" s="8">
        <v>4642.0</v>
      </c>
      <c r="U12" s="14">
        <f t="shared" si="3"/>
        <v>4628.974054</v>
      </c>
      <c r="V12" s="13"/>
      <c r="W12" s="13"/>
    </row>
    <row r="13" ht="14.25" customHeight="1">
      <c r="B13" s="8"/>
      <c r="C13" s="8"/>
      <c r="D13" s="14">
        <f>AVERAGE(C5:C24)</f>
        <v>14.08333333</v>
      </c>
      <c r="E13" s="14"/>
      <c r="F13" s="79"/>
      <c r="G13" s="13"/>
      <c r="H13" s="23" t="s">
        <v>59</v>
      </c>
      <c r="I13" s="119">
        <v>10.0</v>
      </c>
      <c r="J13" s="79">
        <v>0.7959183673469388</v>
      </c>
      <c r="K13" s="14">
        <f t="shared" si="1"/>
        <v>12.56410256</v>
      </c>
      <c r="L13" s="13"/>
      <c r="M13" s="13"/>
      <c r="N13" s="82"/>
      <c r="O13" s="13"/>
      <c r="P13" s="8">
        <v>11.0</v>
      </c>
      <c r="Q13" s="40">
        <v>10.0</v>
      </c>
      <c r="R13" s="79">
        <v>1.141515714199894</v>
      </c>
      <c r="S13" s="14">
        <f t="shared" si="2"/>
        <v>11.41515714</v>
      </c>
      <c r="T13" s="8">
        <v>4892.0</v>
      </c>
      <c r="U13" s="14">
        <f t="shared" si="3"/>
        <v>4880.584843</v>
      </c>
      <c r="V13" s="13"/>
      <c r="W13" s="13"/>
    </row>
    <row r="14" ht="14.25" customHeight="1">
      <c r="B14" s="42" t="s">
        <v>56</v>
      </c>
      <c r="C14" s="40">
        <v>19.0</v>
      </c>
      <c r="D14" s="14"/>
      <c r="E14" s="81">
        <v>7.0</v>
      </c>
      <c r="F14" s="79">
        <f>AVERAGE(C14/E14)</f>
        <v>2.714285714</v>
      </c>
      <c r="G14" s="13"/>
      <c r="H14" s="23" t="s">
        <v>60</v>
      </c>
      <c r="I14" s="119">
        <v>14.0</v>
      </c>
      <c r="J14" s="117">
        <v>0.75</v>
      </c>
      <c r="K14" s="14">
        <f t="shared" si="1"/>
        <v>18.66666667</v>
      </c>
      <c r="L14" s="13"/>
      <c r="M14" s="83"/>
      <c r="N14" s="84"/>
      <c r="O14" s="13"/>
      <c r="P14" s="8">
        <v>12.0</v>
      </c>
      <c r="Q14" s="40">
        <v>14.0</v>
      </c>
      <c r="R14" s="79">
        <v>0.9203638602555372</v>
      </c>
      <c r="S14" s="14">
        <f t="shared" si="2"/>
        <v>12.88509404</v>
      </c>
      <c r="T14" s="8">
        <v>4338.0</v>
      </c>
      <c r="U14" s="14">
        <f t="shared" si="3"/>
        <v>4325.114906</v>
      </c>
      <c r="V14" s="13"/>
      <c r="W14" s="13"/>
    </row>
    <row r="15" ht="14.25" customHeight="1">
      <c r="B15" s="8"/>
      <c r="C15" s="8"/>
      <c r="D15" s="14">
        <f>AVERAGE(C6:C26)</f>
        <v>14.25</v>
      </c>
      <c r="E15" s="14"/>
      <c r="F15" s="79"/>
      <c r="G15" s="13"/>
      <c r="H15" s="23" t="s">
        <v>62</v>
      </c>
      <c r="I15" s="119">
        <v>3.0</v>
      </c>
      <c r="J15" s="79">
        <v>0.7142857142857143</v>
      </c>
      <c r="K15" s="14">
        <f t="shared" si="1"/>
        <v>4.2</v>
      </c>
      <c r="L15" s="13"/>
      <c r="O15" s="13"/>
      <c r="P15" s="8">
        <v>13.0</v>
      </c>
      <c r="Q15" s="40">
        <v>3.0</v>
      </c>
      <c r="R15" s="79">
        <v>0.7895467801655953</v>
      </c>
      <c r="S15" s="14">
        <f t="shared" si="2"/>
        <v>2.36864034</v>
      </c>
      <c r="T15" s="8">
        <v>3742.0</v>
      </c>
      <c r="U15" s="14">
        <f t="shared" si="3"/>
        <v>3739.63136</v>
      </c>
      <c r="V15" s="13"/>
      <c r="W15" s="13"/>
    </row>
    <row r="16" ht="14.25" customHeight="1">
      <c r="B16" s="42" t="s">
        <v>58</v>
      </c>
      <c r="C16" s="40">
        <v>20.0</v>
      </c>
      <c r="D16" s="14"/>
      <c r="E16" s="81">
        <v>7.0</v>
      </c>
      <c r="F16" s="79">
        <f>AVERAGE(C16/E16)</f>
        <v>2.857142857</v>
      </c>
      <c r="G16" s="13"/>
      <c r="H16" s="23" t="s">
        <v>63</v>
      </c>
      <c r="I16" s="119">
        <v>2.0</v>
      </c>
      <c r="J16" s="117">
        <v>1.0</v>
      </c>
      <c r="K16" s="14">
        <f t="shared" si="1"/>
        <v>2</v>
      </c>
      <c r="L16" s="13"/>
      <c r="M16" s="83"/>
      <c r="N16" s="84"/>
      <c r="O16" s="13"/>
      <c r="P16" s="8">
        <v>14.0</v>
      </c>
      <c r="Q16" s="40">
        <v>2.0</v>
      </c>
      <c r="R16" s="79">
        <v>0.9149093318371708</v>
      </c>
      <c r="S16" s="14">
        <f t="shared" si="2"/>
        <v>1.829818664</v>
      </c>
      <c r="T16" s="8">
        <v>4839.0</v>
      </c>
      <c r="U16" s="14">
        <f t="shared" si="3"/>
        <v>4837.170181</v>
      </c>
      <c r="V16" s="13"/>
      <c r="W16" s="13"/>
    </row>
    <row r="17" ht="14.25" customHeight="1">
      <c r="B17" s="8"/>
      <c r="C17" s="8"/>
      <c r="D17" s="14">
        <f>AVERAGE(C7:C28)</f>
        <v>14.41666667</v>
      </c>
      <c r="E17" s="14"/>
      <c r="F17" s="79"/>
      <c r="G17" s="13"/>
      <c r="H17" s="23" t="s">
        <v>48</v>
      </c>
      <c r="I17" s="119">
        <v>4.0</v>
      </c>
      <c r="J17" s="79">
        <v>1.5714285714285714</v>
      </c>
      <c r="K17" s="14">
        <f t="shared" si="1"/>
        <v>2.545454545</v>
      </c>
      <c r="L17" s="13"/>
      <c r="M17" s="83"/>
      <c r="N17" s="84"/>
      <c r="O17" s="13"/>
      <c r="P17" s="8">
        <v>15.0</v>
      </c>
      <c r="Q17" s="40">
        <v>4.0</v>
      </c>
      <c r="R17" s="79">
        <v>1.060263330324526</v>
      </c>
      <c r="S17" s="14">
        <f t="shared" si="2"/>
        <v>4.241053321</v>
      </c>
      <c r="T17" s="8">
        <v>5805.0</v>
      </c>
      <c r="U17" s="14">
        <f t="shared" si="3"/>
        <v>5800.758947</v>
      </c>
      <c r="V17" s="13"/>
      <c r="W17" s="13"/>
    </row>
    <row r="18" ht="14.25" customHeight="1">
      <c r="B18" s="42" t="s">
        <v>59</v>
      </c>
      <c r="C18" s="40">
        <v>22.0</v>
      </c>
      <c r="D18" s="14"/>
      <c r="E18" s="81">
        <v>7.0</v>
      </c>
      <c r="F18" s="79">
        <f>AVERAGE(C18/E18)</f>
        <v>3.142857143</v>
      </c>
      <c r="G18" s="13"/>
      <c r="H18" s="23" t="s">
        <v>65</v>
      </c>
      <c r="I18" s="119">
        <v>5.0</v>
      </c>
      <c r="J18" s="79">
        <v>1.5714285714285714</v>
      </c>
      <c r="K18" s="14">
        <f t="shared" si="1"/>
        <v>3.181818182</v>
      </c>
      <c r="L18" s="13"/>
      <c r="M18" s="83"/>
      <c r="N18" s="84"/>
      <c r="O18" s="13"/>
      <c r="P18" s="8">
        <v>16.0</v>
      </c>
      <c r="Q18" s="40">
        <v>5.0</v>
      </c>
      <c r="R18" s="79">
        <v>1.1841768955782201</v>
      </c>
      <c r="S18" s="14">
        <f t="shared" si="2"/>
        <v>5.920884478</v>
      </c>
      <c r="T18" s="8">
        <v>6747.0</v>
      </c>
      <c r="U18" s="14">
        <f t="shared" si="3"/>
        <v>6741.079116</v>
      </c>
      <c r="V18" s="13"/>
      <c r="W18" s="13"/>
    </row>
    <row r="19" ht="14.25" customHeight="1">
      <c r="B19" s="8"/>
      <c r="C19" s="8"/>
      <c r="D19" s="14">
        <f>AVERAGE(C8:C30)</f>
        <v>14.83333333</v>
      </c>
      <c r="E19" s="14"/>
      <c r="F19" s="79"/>
      <c r="G19" s="13"/>
      <c r="H19" s="23" t="s">
        <v>66</v>
      </c>
      <c r="I19" s="119">
        <v>6.0</v>
      </c>
      <c r="J19" s="79">
        <v>1.4285714285714286</v>
      </c>
      <c r="K19" s="14">
        <f t="shared" si="1"/>
        <v>4.2</v>
      </c>
      <c r="L19" s="13"/>
      <c r="M19" s="83"/>
      <c r="N19" s="84"/>
      <c r="O19" s="13"/>
      <c r="P19" s="8">
        <v>17.0</v>
      </c>
      <c r="Q19" s="40">
        <v>6.0</v>
      </c>
      <c r="R19" s="79">
        <v>1.141515714199894</v>
      </c>
      <c r="S19" s="14">
        <f t="shared" si="2"/>
        <v>6.849094285</v>
      </c>
      <c r="T19" s="8">
        <v>6880.0</v>
      </c>
      <c r="U19" s="14">
        <f t="shared" si="3"/>
        <v>6873.150906</v>
      </c>
      <c r="V19" s="13"/>
      <c r="W19" s="13"/>
    </row>
    <row r="20" ht="14.25" customHeight="1">
      <c r="B20" s="42" t="s">
        <v>60</v>
      </c>
      <c r="C20" s="40">
        <v>25.0</v>
      </c>
      <c r="D20" s="14"/>
      <c r="E20" s="81">
        <v>7.0</v>
      </c>
      <c r="F20" s="79">
        <f>AVERAGE(C20/E20)</f>
        <v>3.571428571</v>
      </c>
      <c r="G20" s="13"/>
      <c r="H20" s="23" t="s">
        <v>67</v>
      </c>
      <c r="I20" s="119">
        <v>6.0</v>
      </c>
      <c r="J20" s="79">
        <v>2.0</v>
      </c>
      <c r="K20" s="14">
        <f t="shared" si="1"/>
        <v>3</v>
      </c>
      <c r="L20" s="13"/>
      <c r="M20" s="83"/>
      <c r="N20" s="84"/>
      <c r="O20" s="13"/>
      <c r="P20" s="8">
        <v>18.0</v>
      </c>
      <c r="Q20" s="40">
        <v>6.0</v>
      </c>
      <c r="R20" s="79">
        <v>0.9203638602555372</v>
      </c>
      <c r="S20" s="14">
        <f t="shared" si="2"/>
        <v>5.522183162</v>
      </c>
      <c r="T20" s="8">
        <v>5683.0</v>
      </c>
      <c r="U20" s="14">
        <f t="shared" si="3"/>
        <v>5677.477817</v>
      </c>
      <c r="V20" s="13"/>
      <c r="W20" s="13"/>
    </row>
    <row r="21" ht="14.25" customHeight="1">
      <c r="B21" s="8"/>
      <c r="C21" s="8"/>
      <c r="D21" s="14">
        <f>AVERAGE(C10:C32)</f>
        <v>15</v>
      </c>
      <c r="E21" s="14"/>
      <c r="F21" s="79"/>
      <c r="G21" s="13"/>
      <c r="H21" s="23" t="s">
        <v>68</v>
      </c>
      <c r="I21" s="119">
        <v>7.0</v>
      </c>
      <c r="J21" s="79">
        <v>0.42857142857142855</v>
      </c>
      <c r="K21" s="14">
        <f t="shared" si="1"/>
        <v>16.33333333</v>
      </c>
      <c r="L21" s="13"/>
      <c r="M21" s="83"/>
      <c r="N21" s="84"/>
      <c r="O21" s="13"/>
      <c r="P21" s="8">
        <v>19.0</v>
      </c>
      <c r="Q21" s="40">
        <v>7.0</v>
      </c>
      <c r="R21" s="79">
        <v>0.7895467801655953</v>
      </c>
      <c r="S21" s="14">
        <f t="shared" si="2"/>
        <v>5.526827461</v>
      </c>
      <c r="T21" s="8">
        <v>5487.0</v>
      </c>
      <c r="U21" s="14">
        <f t="shared" si="3"/>
        <v>5481.473173</v>
      </c>
      <c r="V21" s="13"/>
      <c r="W21" s="13"/>
    </row>
    <row r="22" ht="14.25" customHeight="1">
      <c r="B22" s="42" t="s">
        <v>62</v>
      </c>
      <c r="C22" s="40">
        <v>8.0</v>
      </c>
      <c r="D22" s="14"/>
      <c r="E22" s="81">
        <v>7.0</v>
      </c>
      <c r="F22" s="79">
        <f>AVERAGE(C22/E22)</f>
        <v>1.142857143</v>
      </c>
      <c r="G22" s="13"/>
      <c r="H22" s="23" t="s">
        <v>69</v>
      </c>
      <c r="I22" s="119">
        <v>8.0</v>
      </c>
      <c r="J22" s="79">
        <v>0.2857142857142857</v>
      </c>
      <c r="K22" s="14">
        <f t="shared" si="1"/>
        <v>28</v>
      </c>
      <c r="L22" s="13"/>
      <c r="O22" s="13"/>
      <c r="P22" s="8">
        <v>20.0</v>
      </c>
      <c r="Q22" s="40">
        <v>8.0</v>
      </c>
      <c r="R22" s="79">
        <v>0.9149093318371708</v>
      </c>
      <c r="S22" s="14">
        <f t="shared" si="2"/>
        <v>7.319274655</v>
      </c>
      <c r="T22" s="8">
        <v>6194.0</v>
      </c>
      <c r="U22" s="14">
        <f t="shared" si="3"/>
        <v>6186.680725</v>
      </c>
      <c r="V22" s="13"/>
      <c r="W22" s="13"/>
    </row>
    <row r="23" ht="14.25" customHeight="1">
      <c r="B23" s="8"/>
      <c r="C23" s="8"/>
      <c r="D23" s="14">
        <f>AVERAGE(C12:C34)</f>
        <v>15.41666667</v>
      </c>
      <c r="E23" s="14"/>
      <c r="F23" s="79"/>
      <c r="G23" s="13"/>
      <c r="H23" s="23" t="s">
        <v>70</v>
      </c>
      <c r="I23" s="119">
        <v>10.0</v>
      </c>
      <c r="J23" s="79">
        <v>0.5714285714285714</v>
      </c>
      <c r="K23" s="14">
        <f t="shared" si="1"/>
        <v>17.5</v>
      </c>
      <c r="L23" s="13"/>
      <c r="M23" s="83"/>
      <c r="N23" s="84"/>
      <c r="O23" s="13"/>
      <c r="P23" s="8">
        <v>21.0</v>
      </c>
      <c r="Q23" s="40">
        <v>10.0</v>
      </c>
      <c r="R23" s="79">
        <v>1.060263330324526</v>
      </c>
      <c r="S23" s="14">
        <f t="shared" si="2"/>
        <v>10.6026333</v>
      </c>
      <c r="T23" s="8">
        <v>7642.0</v>
      </c>
      <c r="U23" s="14">
        <f t="shared" si="3"/>
        <v>7631.397367</v>
      </c>
      <c r="V23" s="13"/>
      <c r="W23" s="13"/>
    </row>
    <row r="24" ht="14.25" customHeight="1">
      <c r="B24" s="42" t="s">
        <v>63</v>
      </c>
      <c r="C24" s="40">
        <v>6.0</v>
      </c>
      <c r="D24" s="14"/>
      <c r="E24" s="81">
        <v>7.0</v>
      </c>
      <c r="F24" s="79">
        <f>AVERAGE(C24/E24)</f>
        <v>0.8571428571</v>
      </c>
      <c r="G24" s="13"/>
      <c r="H24" s="23" t="s">
        <v>72</v>
      </c>
      <c r="I24" s="119">
        <v>11.0</v>
      </c>
      <c r="J24" s="79">
        <v>0.7142857142857143</v>
      </c>
      <c r="K24" s="14">
        <f t="shared" si="1"/>
        <v>15.4</v>
      </c>
      <c r="L24" s="13"/>
      <c r="M24" s="83"/>
      <c r="N24" s="84"/>
      <c r="O24" s="13"/>
      <c r="P24" s="8">
        <v>22.0</v>
      </c>
      <c r="Q24" s="40">
        <v>11.0</v>
      </c>
      <c r="R24" s="79">
        <v>1.1841768955782201</v>
      </c>
      <c r="S24" s="14">
        <f t="shared" si="2"/>
        <v>13.02594585</v>
      </c>
      <c r="T24" s="8">
        <v>8821.0</v>
      </c>
      <c r="U24" s="14">
        <f t="shared" si="3"/>
        <v>8807.974054</v>
      </c>
      <c r="V24" s="13"/>
      <c r="W24" s="13"/>
    </row>
    <row r="25" ht="14.25" customHeight="1">
      <c r="B25" s="8"/>
      <c r="C25" s="8"/>
      <c r="D25" s="14">
        <f>AVERAGE(C14:C35)</f>
        <v>15.58333333</v>
      </c>
      <c r="E25" s="14"/>
      <c r="F25" s="79"/>
      <c r="G25" s="13"/>
      <c r="H25" s="23" t="s">
        <v>73</v>
      </c>
      <c r="I25" s="119">
        <v>13.0</v>
      </c>
      <c r="J25" s="79">
        <v>0.7959183673469388</v>
      </c>
      <c r="K25" s="14">
        <f t="shared" si="1"/>
        <v>16.33333333</v>
      </c>
      <c r="L25" s="13"/>
      <c r="M25" s="83"/>
      <c r="N25" s="84"/>
      <c r="O25" s="13"/>
      <c r="P25" s="8">
        <v>23.0</v>
      </c>
      <c r="Q25" s="40">
        <v>13.0</v>
      </c>
      <c r="R25" s="79">
        <v>1.141515714199894</v>
      </c>
      <c r="S25" s="14">
        <f t="shared" si="2"/>
        <v>14.83970428</v>
      </c>
      <c r="T25" s="8">
        <v>8469.0</v>
      </c>
      <c r="U25" s="14">
        <f t="shared" si="3"/>
        <v>8454.160296</v>
      </c>
      <c r="V25" s="13"/>
      <c r="W25" s="13"/>
    </row>
    <row r="26" ht="14.25" customHeight="1">
      <c r="B26" s="42" t="s">
        <v>48</v>
      </c>
      <c r="C26" s="40">
        <v>10.0</v>
      </c>
      <c r="E26" s="81">
        <v>7.0</v>
      </c>
      <c r="F26" s="79">
        <f>AVERAGE(C26/E26)</f>
        <v>1.428571429</v>
      </c>
      <c r="G26" s="13"/>
      <c r="H26" s="23" t="s">
        <v>74</v>
      </c>
      <c r="I26" s="119">
        <v>16.0</v>
      </c>
      <c r="J26" s="117">
        <v>0.75</v>
      </c>
      <c r="K26" s="14">
        <f t="shared" si="1"/>
        <v>21.33333333</v>
      </c>
      <c r="L26" s="13"/>
      <c r="M26" s="83"/>
      <c r="N26" s="84"/>
      <c r="O26" s="13"/>
      <c r="P26" s="8">
        <v>24.0</v>
      </c>
      <c r="Q26" s="40">
        <v>16.0</v>
      </c>
      <c r="R26" s="79">
        <v>0.9203638602555372</v>
      </c>
      <c r="S26" s="14">
        <f t="shared" si="2"/>
        <v>14.72582176</v>
      </c>
      <c r="T26" s="8">
        <v>7139.0</v>
      </c>
      <c r="U26" s="14">
        <f t="shared" si="3"/>
        <v>7124.274178</v>
      </c>
      <c r="V26" s="13"/>
      <c r="W26" s="13"/>
    </row>
    <row r="27" ht="14.25" customHeight="1">
      <c r="B27" s="8"/>
      <c r="C27" s="8"/>
      <c r="D27" s="14">
        <f>AVERAGE(C15:C36)</f>
        <v>15.75</v>
      </c>
      <c r="E27" s="14"/>
      <c r="F27" s="79"/>
      <c r="G27" s="13"/>
      <c r="H27" s="13"/>
      <c r="I27" s="13"/>
      <c r="J27" s="13"/>
      <c r="K27" s="13"/>
      <c r="L27" s="13"/>
      <c r="N27" s="116"/>
      <c r="O27" s="13"/>
      <c r="P27" s="17" t="s">
        <v>27</v>
      </c>
      <c r="Q27" s="3"/>
      <c r="R27" s="3"/>
      <c r="S27" s="3"/>
      <c r="T27" s="22"/>
      <c r="U27" s="14">
        <f>SUM(U2:U26)</f>
        <v>113322.5574</v>
      </c>
      <c r="V27" s="13"/>
      <c r="W27" s="13"/>
    </row>
    <row r="28" ht="14.25" customHeight="1">
      <c r="B28" s="42" t="s">
        <v>65</v>
      </c>
      <c r="C28" s="40">
        <v>12.0</v>
      </c>
      <c r="E28" s="81">
        <v>7.0</v>
      </c>
      <c r="F28" s="79">
        <f>AVERAGE(C28/E28)</f>
        <v>1.714285714</v>
      </c>
      <c r="G28" s="13"/>
      <c r="H28" s="13"/>
      <c r="I28" s="13"/>
      <c r="J28" s="13"/>
      <c r="K28" s="13"/>
      <c r="L28" s="13"/>
      <c r="N28" s="116"/>
      <c r="O28" s="13"/>
      <c r="P28" s="17" t="s">
        <v>9</v>
      </c>
      <c r="Q28" s="3"/>
      <c r="R28" s="3"/>
      <c r="S28" s="3"/>
      <c r="T28" s="22"/>
      <c r="U28" s="8"/>
      <c r="V28" s="13"/>
      <c r="W28" s="13"/>
    </row>
    <row r="29" ht="14.25" customHeight="1">
      <c r="B29" s="8"/>
      <c r="C29" s="8"/>
      <c r="D29" s="14">
        <f>AVERAGE(C16:C37)</f>
        <v>16.23076923</v>
      </c>
      <c r="E29" s="14"/>
      <c r="F29" s="79"/>
      <c r="G29" s="13"/>
      <c r="H29" s="13"/>
      <c r="I29" s="13"/>
      <c r="J29" s="13"/>
      <c r="K29" s="13"/>
      <c r="L29" s="13"/>
      <c r="N29" s="116"/>
      <c r="O29" s="13"/>
      <c r="P29" s="13"/>
      <c r="Q29" s="13"/>
      <c r="R29" s="13"/>
      <c r="S29" s="13"/>
      <c r="T29" s="13"/>
      <c r="U29" s="13"/>
      <c r="V29" s="13"/>
      <c r="W29" s="13"/>
    </row>
    <row r="30" ht="14.25" customHeight="1">
      <c r="B30" s="42" t="s">
        <v>66</v>
      </c>
      <c r="C30" s="40">
        <v>14.0</v>
      </c>
      <c r="E30" s="14">
        <f>AVERAGE(D29:D31)</f>
        <v>16.34615385</v>
      </c>
      <c r="F30" s="79">
        <f>AVERAGE(C30/E30)</f>
        <v>0.8564705882</v>
      </c>
      <c r="G30" s="13"/>
      <c r="H30" s="13"/>
      <c r="I30" s="13"/>
      <c r="J30" s="13"/>
      <c r="K30" s="13"/>
      <c r="L30" s="13"/>
      <c r="N30" s="119"/>
      <c r="O30" s="13"/>
      <c r="P30" s="13"/>
      <c r="Q30" s="13"/>
      <c r="R30" s="13"/>
      <c r="S30" s="13"/>
      <c r="T30" s="13"/>
      <c r="U30" s="13"/>
      <c r="V30" s="13"/>
      <c r="W30" s="13"/>
    </row>
    <row r="31" ht="14.25" customHeight="1">
      <c r="B31" s="8"/>
      <c r="C31" s="8"/>
      <c r="D31" s="14">
        <f>AVERAGE(C17:C38)</f>
        <v>16.46153846</v>
      </c>
      <c r="E31" s="14"/>
      <c r="F31" s="79"/>
      <c r="G31" s="13"/>
      <c r="H31" s="13"/>
      <c r="I31" s="13"/>
      <c r="J31" s="13"/>
      <c r="K31" s="13"/>
      <c r="L31" s="13"/>
      <c r="N31" s="119"/>
      <c r="O31" s="13"/>
      <c r="P31" s="13"/>
      <c r="Q31" s="13"/>
      <c r="R31" s="13"/>
      <c r="S31" s="13"/>
      <c r="T31" s="13"/>
      <c r="U31" s="13"/>
      <c r="V31" s="13"/>
      <c r="W31" s="13"/>
    </row>
    <row r="32" ht="14.25" customHeight="1">
      <c r="B32" s="42" t="s">
        <v>67</v>
      </c>
      <c r="C32" s="40">
        <v>15.0</v>
      </c>
      <c r="E32" s="81">
        <v>8.0</v>
      </c>
      <c r="F32" s="79">
        <f>AVERAGE(C32/E32)</f>
        <v>1.875</v>
      </c>
      <c r="G32" s="13"/>
      <c r="H32" s="13"/>
      <c r="I32" s="13"/>
      <c r="J32" s="13"/>
      <c r="K32" s="13"/>
      <c r="L32" s="13"/>
      <c r="N32" s="119"/>
      <c r="O32" s="13"/>
      <c r="P32" s="13"/>
      <c r="Q32" s="13"/>
      <c r="R32" s="13"/>
      <c r="S32" s="13"/>
      <c r="T32" s="13"/>
      <c r="U32" s="13"/>
      <c r="V32" s="13"/>
      <c r="W32" s="13"/>
    </row>
    <row r="33" ht="14.25" customHeight="1">
      <c r="D33" s="14">
        <f>AVERAGE(C18:C39)</f>
        <v>17.21428571</v>
      </c>
      <c r="E33" s="14"/>
      <c r="F33" s="79"/>
      <c r="G33" s="13"/>
      <c r="H33" s="13"/>
      <c r="I33" s="13"/>
      <c r="J33" s="13"/>
      <c r="K33" s="13"/>
      <c r="L33" s="13"/>
      <c r="N33" s="119"/>
      <c r="O33" s="13"/>
      <c r="P33" s="13"/>
      <c r="Q33" s="13"/>
      <c r="R33" s="13"/>
      <c r="S33" s="13"/>
      <c r="T33" s="13"/>
      <c r="U33" s="13"/>
      <c r="V33" s="13"/>
      <c r="W33" s="13"/>
    </row>
    <row r="34" ht="14.25" customHeight="1">
      <c r="B34" s="42" t="s">
        <v>68</v>
      </c>
      <c r="C34" s="40">
        <v>18.0</v>
      </c>
      <c r="E34" s="14"/>
      <c r="F34" s="79"/>
      <c r="G34" s="13"/>
      <c r="H34" s="13"/>
      <c r="I34" s="13"/>
      <c r="J34" s="13"/>
      <c r="K34" s="13"/>
      <c r="L34" s="13"/>
      <c r="N34" s="119"/>
      <c r="O34" s="13"/>
      <c r="P34" s="13"/>
      <c r="Q34" s="13"/>
      <c r="R34" s="13"/>
      <c r="S34" s="13"/>
      <c r="T34" s="13"/>
      <c r="U34" s="13"/>
      <c r="V34" s="13"/>
      <c r="W34" s="13"/>
    </row>
    <row r="35" ht="14.25" customHeight="1">
      <c r="B35" s="42" t="s">
        <v>69</v>
      </c>
      <c r="C35" s="40">
        <v>18.0</v>
      </c>
      <c r="D35" s="14"/>
      <c r="E35" s="14"/>
      <c r="F35" s="79"/>
      <c r="G35" s="13"/>
      <c r="H35" s="13"/>
      <c r="I35" s="13"/>
      <c r="J35" s="13"/>
      <c r="K35" s="13"/>
      <c r="L35" s="13"/>
      <c r="N35" s="119"/>
      <c r="O35" s="13"/>
      <c r="P35" s="13"/>
      <c r="Q35" s="13"/>
      <c r="R35" s="13"/>
      <c r="S35" s="13"/>
      <c r="T35" s="13"/>
      <c r="U35" s="13"/>
      <c r="V35" s="13"/>
      <c r="W35" s="13"/>
    </row>
    <row r="36" ht="14.25" customHeight="1">
      <c r="B36" s="42" t="s">
        <v>70</v>
      </c>
      <c r="C36" s="40">
        <v>21.0</v>
      </c>
      <c r="D36" s="14"/>
      <c r="E36" s="14"/>
      <c r="F36" s="79"/>
      <c r="G36" s="13"/>
      <c r="H36" s="13"/>
      <c r="I36" s="13"/>
      <c r="J36" s="13"/>
      <c r="K36" s="13"/>
      <c r="L36" s="13"/>
      <c r="N36" s="119"/>
      <c r="O36" s="13"/>
      <c r="P36" s="13"/>
      <c r="Q36" s="13"/>
      <c r="R36" s="13"/>
      <c r="S36" s="13"/>
      <c r="T36" s="13"/>
      <c r="U36" s="13"/>
      <c r="V36" s="13"/>
      <c r="W36" s="13"/>
    </row>
    <row r="37" ht="14.25" customHeight="1">
      <c r="B37" s="42" t="s">
        <v>72</v>
      </c>
      <c r="C37" s="40">
        <v>22.0</v>
      </c>
      <c r="D37" s="14"/>
      <c r="E37" s="14"/>
      <c r="F37" s="79"/>
      <c r="G37" s="13"/>
      <c r="H37" s="13"/>
      <c r="I37" s="13"/>
      <c r="J37" s="13"/>
      <c r="K37" s="13"/>
      <c r="L37" s="13"/>
      <c r="N37" s="119"/>
      <c r="O37" s="13"/>
      <c r="P37" s="13"/>
      <c r="Q37" s="13"/>
      <c r="R37" s="13"/>
      <c r="S37" s="13"/>
      <c r="T37" s="13"/>
      <c r="U37" s="13"/>
      <c r="V37" s="13"/>
      <c r="W37" s="13"/>
    </row>
    <row r="38" ht="14.25" customHeight="1">
      <c r="B38" s="42" t="s">
        <v>73</v>
      </c>
      <c r="C38" s="73">
        <v>23.0</v>
      </c>
      <c r="D38" s="14"/>
      <c r="E38" s="14"/>
      <c r="F38" s="79"/>
      <c r="G38" s="13"/>
      <c r="H38" s="13"/>
      <c r="I38" s="13"/>
      <c r="J38" s="13"/>
      <c r="K38" s="13"/>
      <c r="L38" s="13"/>
      <c r="N38" s="119"/>
      <c r="O38" s="83"/>
      <c r="P38" s="84"/>
      <c r="Q38" s="13"/>
      <c r="R38" s="13"/>
      <c r="S38" s="13"/>
      <c r="T38" s="13"/>
      <c r="U38" s="13"/>
      <c r="V38" s="13"/>
      <c r="W38" s="13"/>
    </row>
    <row r="39" ht="14.25" customHeight="1">
      <c r="B39" s="42" t="s">
        <v>74</v>
      </c>
      <c r="C39" s="73">
        <v>27.0</v>
      </c>
      <c r="D39" s="125"/>
      <c r="E39" s="125"/>
      <c r="F39" s="126"/>
      <c r="G39" s="13"/>
      <c r="H39" s="13"/>
      <c r="I39" s="13"/>
      <c r="J39" s="13"/>
      <c r="K39" s="13"/>
      <c r="L39" s="13"/>
      <c r="N39" s="119"/>
      <c r="O39" s="83"/>
      <c r="P39" s="84"/>
      <c r="Q39" s="13"/>
      <c r="R39" s="13"/>
      <c r="S39" s="13"/>
      <c r="T39" s="13"/>
      <c r="U39" s="13"/>
      <c r="V39" s="13"/>
      <c r="W39" s="13"/>
    </row>
    <row r="40" ht="14.25" customHeight="1">
      <c r="D40" s="127"/>
      <c r="E40" s="127"/>
      <c r="F40" s="100"/>
      <c r="G40" s="13"/>
      <c r="H40" s="13"/>
      <c r="I40" s="13"/>
      <c r="J40" s="13"/>
      <c r="K40" s="13"/>
      <c r="L40" s="13"/>
      <c r="N40" s="119"/>
      <c r="O40" s="83"/>
      <c r="P40" s="84"/>
      <c r="Q40" s="13"/>
      <c r="R40" s="13"/>
      <c r="S40" s="13"/>
      <c r="T40" s="13"/>
      <c r="U40" s="13"/>
      <c r="V40" s="13"/>
      <c r="W40" s="13"/>
    </row>
    <row r="41" ht="14.25" customHeight="1">
      <c r="D41" s="109"/>
      <c r="E41" s="109"/>
      <c r="F41" s="82"/>
      <c r="G41" s="13"/>
      <c r="H41" s="13"/>
      <c r="I41" s="13"/>
      <c r="J41" s="13"/>
      <c r="K41" s="13"/>
      <c r="L41" s="13"/>
      <c r="N41" s="119"/>
      <c r="O41" s="83"/>
      <c r="P41" s="84"/>
      <c r="Q41" s="13"/>
      <c r="R41" s="13"/>
      <c r="S41" s="13"/>
      <c r="T41" s="13"/>
      <c r="U41" s="13"/>
      <c r="V41" s="13"/>
      <c r="W41" s="13"/>
    </row>
    <row r="42" ht="14.25" customHeight="1">
      <c r="D42" s="128"/>
      <c r="E42" s="128"/>
      <c r="F42" s="129"/>
      <c r="G42" s="13"/>
      <c r="H42" s="13"/>
      <c r="I42" s="13"/>
      <c r="J42" s="13"/>
      <c r="K42" s="13"/>
      <c r="L42" s="13"/>
      <c r="N42" s="119"/>
      <c r="O42" s="83"/>
      <c r="P42" s="84"/>
      <c r="Q42" s="13"/>
      <c r="R42" s="13"/>
      <c r="S42" s="13"/>
      <c r="T42" s="13"/>
      <c r="U42" s="13"/>
      <c r="V42" s="13"/>
      <c r="W42" s="13"/>
    </row>
    <row r="43" ht="14.25" customHeight="1">
      <c r="D43" s="14"/>
      <c r="E43" s="14"/>
      <c r="F43" s="79"/>
      <c r="G43" s="13"/>
      <c r="H43" s="13"/>
      <c r="I43" s="13"/>
      <c r="J43" s="13"/>
      <c r="K43" s="13"/>
      <c r="L43" s="13"/>
      <c r="N43" s="119"/>
      <c r="O43" s="83"/>
      <c r="P43" s="84"/>
      <c r="Q43" s="13"/>
      <c r="R43" s="13"/>
      <c r="S43" s="13"/>
      <c r="T43" s="13"/>
      <c r="U43" s="13"/>
      <c r="V43" s="13"/>
      <c r="W43" s="13"/>
    </row>
    <row r="44" ht="14.25" customHeight="1">
      <c r="D44" s="14"/>
      <c r="E44" s="14"/>
      <c r="F44" s="79"/>
      <c r="G44" s="13"/>
      <c r="H44" s="13"/>
      <c r="I44" s="13"/>
      <c r="J44" s="13"/>
      <c r="K44" s="13"/>
      <c r="L44" s="13"/>
      <c r="N44" s="119"/>
      <c r="O44" s="13"/>
      <c r="P44" s="13"/>
      <c r="Q44" s="13"/>
      <c r="R44" s="13"/>
      <c r="S44" s="13"/>
      <c r="T44" s="13"/>
      <c r="U44" s="13"/>
      <c r="V44" s="13"/>
      <c r="W44" s="13"/>
    </row>
    <row r="45" ht="14.25" customHeight="1">
      <c r="D45" s="14"/>
      <c r="E45" s="14"/>
      <c r="F45" s="79"/>
      <c r="G45" s="13"/>
      <c r="H45" s="13"/>
      <c r="I45" s="13"/>
      <c r="J45" s="13"/>
      <c r="K45" s="13"/>
      <c r="L45" s="13"/>
      <c r="N45" s="119"/>
      <c r="O45" s="13"/>
      <c r="P45" s="13"/>
      <c r="Q45" s="13"/>
      <c r="R45" s="13"/>
      <c r="S45" s="13"/>
      <c r="T45" s="13"/>
      <c r="U45" s="13"/>
      <c r="V45" s="13"/>
      <c r="W45" s="13"/>
    </row>
    <row r="46" ht="14.25" customHeight="1">
      <c r="B46" s="122"/>
      <c r="C46" s="123"/>
      <c r="D46" s="49"/>
      <c r="E46" s="49"/>
      <c r="F46" s="49"/>
      <c r="N46" s="119"/>
    </row>
    <row r="47" ht="14.25" customHeight="1">
      <c r="B47" s="23"/>
      <c r="C47" s="124"/>
      <c r="N47" s="119"/>
    </row>
    <row r="48" ht="14.25" customHeight="1">
      <c r="N48" s="119"/>
    </row>
    <row r="49" ht="14.25" customHeight="1">
      <c r="N49" s="119"/>
    </row>
    <row r="50" ht="14.25" customHeight="1">
      <c r="N50" s="119"/>
    </row>
    <row r="51" ht="14.25" customHeight="1"/>
    <row r="52" ht="14.25" customHeight="1"/>
    <row r="53" ht="14.25" customHeight="1"/>
    <row r="54" ht="14.25" customHeight="1">
      <c r="B54" s="87"/>
      <c r="C54" s="87"/>
      <c r="D54" s="87"/>
      <c r="E54" s="87"/>
      <c r="F54" s="87"/>
      <c r="G54" s="87"/>
      <c r="H54" s="87"/>
      <c r="I54" s="87"/>
      <c r="J54" s="87"/>
    </row>
    <row r="55" ht="14.25" customHeight="1">
      <c r="B55" s="87"/>
      <c r="C55" s="87"/>
      <c r="D55" s="87"/>
      <c r="E55" s="87"/>
      <c r="F55" s="87"/>
      <c r="G55" s="87"/>
      <c r="H55" s="87"/>
      <c r="I55" s="87"/>
      <c r="J55" s="87"/>
    </row>
    <row r="56" ht="14.25" customHeight="1"/>
    <row r="57" ht="14.25" customHeight="1"/>
    <row r="58" ht="14.25" customHeight="1">
      <c r="B58" s="7">
        <v>1.0</v>
      </c>
      <c r="C58" s="15">
        <v>598.0</v>
      </c>
    </row>
    <row r="59" ht="14.25" customHeight="1">
      <c r="B59" s="7">
        <v>2.0</v>
      </c>
      <c r="C59" s="15">
        <v>648.0</v>
      </c>
    </row>
    <row r="60" ht="14.25" customHeight="1">
      <c r="B60" s="7">
        <v>3.0</v>
      </c>
      <c r="C60" s="15">
        <v>556.0</v>
      </c>
    </row>
    <row r="61" ht="14.25" customHeight="1">
      <c r="B61" s="7">
        <v>4.0</v>
      </c>
      <c r="C61" s="15">
        <v>522.0</v>
      </c>
    </row>
    <row r="62" ht="14.25" customHeight="1">
      <c r="B62" s="7">
        <v>5.0</v>
      </c>
      <c r="C62" s="15">
        <v>604.0</v>
      </c>
    </row>
    <row r="63" ht="14.25" customHeight="1">
      <c r="B63" s="7">
        <v>6.0</v>
      </c>
      <c r="C63" s="15">
        <v>615.0</v>
      </c>
    </row>
    <row r="64" ht="14.25" customHeight="1">
      <c r="B64" s="7">
        <v>7.0</v>
      </c>
      <c r="C64" s="15">
        <v>551.0</v>
      </c>
    </row>
    <row r="65" ht="14.25" customHeight="1">
      <c r="B65" s="7">
        <v>8.0</v>
      </c>
      <c r="C65" s="15">
        <v>525.0</v>
      </c>
    </row>
    <row r="66" ht="14.25" customHeight="1">
      <c r="B66" s="7">
        <v>9.0</v>
      </c>
      <c r="C66" s="15">
        <v>583.0</v>
      </c>
    </row>
    <row r="67" ht="14.25" customHeight="1">
      <c r="B67" s="7">
        <v>10.0</v>
      </c>
      <c r="C67" s="15">
        <v>618.0</v>
      </c>
    </row>
    <row r="68" ht="14.25" customHeight="1">
      <c r="B68" s="7">
        <v>11.0</v>
      </c>
      <c r="C68" s="15">
        <v>558.0</v>
      </c>
    </row>
    <row r="69" ht="14.25" customHeight="1">
      <c r="B69" s="7">
        <v>12.0</v>
      </c>
      <c r="C69" s="15">
        <v>528.0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K$2:$K$26"/>
  <mergeCells count="6">
    <mergeCell ref="B1:F1"/>
    <mergeCell ref="H1:K1"/>
    <mergeCell ref="M1:N1"/>
    <mergeCell ref="P1:U1"/>
    <mergeCell ref="P27:T27"/>
    <mergeCell ref="P28:T28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4" width="10.57"/>
    <col customWidth="1" min="5" max="26" width="8.71"/>
  </cols>
  <sheetData>
    <row r="1" ht="14.25" customHeight="1">
      <c r="B1" s="130" t="s">
        <v>113</v>
      </c>
      <c r="C1" s="131"/>
      <c r="D1" s="131"/>
      <c r="E1" s="131"/>
      <c r="F1" s="131"/>
      <c r="G1" s="131"/>
    </row>
    <row r="2" ht="28.5" customHeight="1">
      <c r="B2" s="132" t="s">
        <v>114</v>
      </c>
      <c r="C2" s="132" t="s">
        <v>115</v>
      </c>
      <c r="D2" s="132" t="s">
        <v>116</v>
      </c>
      <c r="E2" s="132" t="s">
        <v>29</v>
      </c>
      <c r="F2" s="133" t="s">
        <v>117</v>
      </c>
      <c r="G2" s="133" t="s">
        <v>30</v>
      </c>
    </row>
    <row r="3" ht="14.25" customHeight="1">
      <c r="B3" s="7">
        <v>1.0</v>
      </c>
      <c r="C3" s="8">
        <v>10000.0</v>
      </c>
      <c r="D3" s="8">
        <v>31560.0</v>
      </c>
      <c r="E3" s="8"/>
      <c r="F3" s="25"/>
      <c r="G3" s="25"/>
    </row>
    <row r="4" ht="14.25" customHeight="1">
      <c r="B4" s="7">
        <v>2.0</v>
      </c>
      <c r="C4" s="8">
        <v>12000.0</v>
      </c>
      <c r="D4" s="8">
        <v>38000.0</v>
      </c>
      <c r="E4" s="8"/>
      <c r="F4" s="25"/>
      <c r="G4" s="25"/>
    </row>
    <row r="5" ht="14.25" customHeight="1">
      <c r="B5" s="7">
        <v>3.0</v>
      </c>
      <c r="C5" s="8">
        <v>8000.0</v>
      </c>
      <c r="D5" s="8">
        <v>25250.0</v>
      </c>
      <c r="E5" s="8"/>
      <c r="F5" s="25"/>
      <c r="G5" s="25"/>
    </row>
    <row r="6" ht="14.25" customHeight="1">
      <c r="B6" s="7">
        <v>4.0</v>
      </c>
      <c r="C6" s="8">
        <v>15000.0</v>
      </c>
      <c r="D6" s="8">
        <v>47200.0</v>
      </c>
      <c r="E6" s="8"/>
      <c r="F6" s="25"/>
      <c r="G6" s="25"/>
    </row>
    <row r="7" ht="14.25" customHeight="1">
      <c r="B7" s="7">
        <v>5.0</v>
      </c>
      <c r="C7" s="8">
        <v>6500.0</v>
      </c>
      <c r="D7" s="8">
        <v>22000.0</v>
      </c>
      <c r="E7" s="8"/>
      <c r="F7" s="25"/>
      <c r="G7" s="25"/>
    </row>
    <row r="8" ht="14.25" customHeight="1">
      <c r="B8" s="7">
        <v>6.0</v>
      </c>
      <c r="C8" s="8">
        <v>11000.0</v>
      </c>
      <c r="D8" s="8">
        <v>34200.0</v>
      </c>
      <c r="E8" s="8"/>
      <c r="F8" s="25"/>
      <c r="G8" s="25"/>
    </row>
    <row r="9" ht="14.25" customHeight="1">
      <c r="B9" s="7">
        <v>7.0</v>
      </c>
      <c r="C9" s="8">
        <v>14500.0</v>
      </c>
      <c r="D9" s="8">
        <v>45100.0</v>
      </c>
      <c r="E9" s="8"/>
      <c r="F9" s="25"/>
      <c r="G9" s="25"/>
    </row>
    <row r="10" ht="14.25" customHeight="1">
      <c r="B10" s="7">
        <v>8.0</v>
      </c>
      <c r="C10" s="8">
        <v>10100.0</v>
      </c>
      <c r="D10" s="8">
        <v>32300.0</v>
      </c>
      <c r="E10" s="8"/>
      <c r="F10" s="25"/>
      <c r="G10" s="25"/>
    </row>
    <row r="11" ht="14.25" customHeight="1">
      <c r="B11" s="7">
        <v>9.0</v>
      </c>
      <c r="C11" s="8">
        <v>9200.0</v>
      </c>
      <c r="D11" s="8">
        <v>29000.0</v>
      </c>
      <c r="E11" s="8"/>
      <c r="F11" s="25"/>
      <c r="G11" s="25"/>
    </row>
    <row r="12" ht="14.25" customHeight="1">
      <c r="B12" s="7">
        <v>10.0</v>
      </c>
      <c r="C12" s="8">
        <v>13400.0</v>
      </c>
      <c r="D12" s="8">
        <v>40900.0</v>
      </c>
      <c r="E12" s="8"/>
      <c r="F12" s="25"/>
      <c r="G12" s="25"/>
    </row>
    <row r="13" ht="14.25" customHeight="1">
      <c r="B13" s="7">
        <v>11.0</v>
      </c>
      <c r="C13" s="8">
        <v>12700.0</v>
      </c>
      <c r="D13" s="8">
        <v>40000.0</v>
      </c>
      <c r="E13" s="8"/>
      <c r="F13" s="25"/>
      <c r="G13" s="25"/>
    </row>
    <row r="14" ht="14.25" customHeight="1">
      <c r="B14" s="7">
        <v>12.0</v>
      </c>
      <c r="C14" s="8">
        <v>7600.0</v>
      </c>
      <c r="D14" s="8">
        <v>24200.0</v>
      </c>
      <c r="E14" s="8"/>
      <c r="F14" s="25"/>
      <c r="G14" s="25"/>
    </row>
    <row r="15" ht="14.25" customHeight="1">
      <c r="B15" s="7">
        <v>13.0</v>
      </c>
      <c r="C15" s="8">
        <v>13100.0</v>
      </c>
      <c r="D15" s="8">
        <v>41000.0</v>
      </c>
      <c r="E15" s="8"/>
      <c r="F15" s="25"/>
      <c r="G15" s="25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G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10.57"/>
    <col customWidth="1" min="4" max="4" width="22.0"/>
    <col customWidth="1" min="5" max="8" width="8.71"/>
    <col customWidth="1" min="9" max="10" width="12.71"/>
    <col customWidth="1" min="11" max="27" width="8.71"/>
  </cols>
  <sheetData>
    <row r="1" ht="14.25" customHeight="1">
      <c r="B1" s="130" t="s">
        <v>113</v>
      </c>
      <c r="C1" s="131"/>
      <c r="D1" s="131"/>
      <c r="E1" s="131"/>
      <c r="F1" s="131"/>
      <c r="G1" s="131"/>
      <c r="I1" s="134" t="s">
        <v>118</v>
      </c>
      <c r="J1" s="131"/>
    </row>
    <row r="2" ht="28.5" customHeight="1">
      <c r="A2" s="132" t="s">
        <v>114</v>
      </c>
      <c r="B2" s="132" t="s">
        <v>114</v>
      </c>
      <c r="C2" s="132" t="s">
        <v>115</v>
      </c>
      <c r="D2" s="135" t="s">
        <v>119</v>
      </c>
      <c r="E2" s="132" t="s">
        <v>29</v>
      </c>
      <c r="F2" s="133" t="s">
        <v>117</v>
      </c>
      <c r="G2" s="133" t="s">
        <v>30</v>
      </c>
      <c r="I2" s="124" t="s">
        <v>120</v>
      </c>
      <c r="J2" s="53">
        <f>SUM(C3:C26)</f>
        <v>171</v>
      </c>
    </row>
    <row r="3" ht="14.25" customHeight="1">
      <c r="A3" s="53">
        <f t="array" ref="A3:A26">SEQUENCE(24,1)</f>
        <v>1</v>
      </c>
      <c r="B3" s="23" t="s">
        <v>44</v>
      </c>
      <c r="C3" s="116">
        <v>2.0</v>
      </c>
      <c r="D3" s="40">
        <v>6.0</v>
      </c>
      <c r="E3" s="40">
        <f t="shared" ref="E3:F3" si="1">C3*C3</f>
        <v>4</v>
      </c>
      <c r="F3" s="25">
        <f t="shared" si="1"/>
        <v>36</v>
      </c>
      <c r="G3" s="25">
        <f t="shared" ref="G3:G26" si="3">C3*D3</f>
        <v>12</v>
      </c>
      <c r="I3" s="124" t="s">
        <v>121</v>
      </c>
      <c r="J3" s="53">
        <f>SUM(D3:D26)</f>
        <v>364</v>
      </c>
    </row>
    <row r="4" ht="14.25" customHeight="1">
      <c r="A4" s="53">
        <v>2.0</v>
      </c>
      <c r="B4" s="23" t="s">
        <v>46</v>
      </c>
      <c r="C4" s="116">
        <v>3.0</v>
      </c>
      <c r="D4" s="40">
        <v>9.0</v>
      </c>
      <c r="E4" s="40">
        <f t="shared" ref="E4:F4" si="2">C4*C4</f>
        <v>9</v>
      </c>
      <c r="F4" s="25">
        <f t="shared" si="2"/>
        <v>81</v>
      </c>
      <c r="G4" s="25">
        <f t="shared" si="3"/>
        <v>27</v>
      </c>
      <c r="I4" s="136" t="s">
        <v>117</v>
      </c>
      <c r="J4" s="53">
        <f>SUM(F3:F26)</f>
        <v>6422</v>
      </c>
    </row>
    <row r="5" ht="14.25" customHeight="1">
      <c r="A5" s="53">
        <v>3.0</v>
      </c>
      <c r="B5" s="23" t="s">
        <v>48</v>
      </c>
      <c r="C5" s="116">
        <v>3.0</v>
      </c>
      <c r="D5" s="40">
        <v>8.0</v>
      </c>
      <c r="E5" s="40">
        <f t="shared" ref="E5:F5" si="4">C5*C5</f>
        <v>9</v>
      </c>
      <c r="F5" s="25">
        <f t="shared" si="4"/>
        <v>64</v>
      </c>
      <c r="G5" s="25">
        <f t="shared" si="3"/>
        <v>24</v>
      </c>
      <c r="I5" s="137" t="s">
        <v>29</v>
      </c>
      <c r="J5" s="53">
        <f>SUM(E3:E26)</f>
        <v>1587</v>
      </c>
    </row>
    <row r="6" ht="14.25" customHeight="1">
      <c r="A6" s="53">
        <v>4.0</v>
      </c>
      <c r="B6" s="23" t="s">
        <v>50</v>
      </c>
      <c r="C6" s="119">
        <v>4.0</v>
      </c>
      <c r="D6" s="40">
        <v>10.0</v>
      </c>
      <c r="E6" s="40">
        <f t="shared" ref="E6:F6" si="5">C6*C6</f>
        <v>16</v>
      </c>
      <c r="F6" s="25">
        <f t="shared" si="5"/>
        <v>100</v>
      </c>
      <c r="G6" s="25">
        <f t="shared" si="3"/>
        <v>40</v>
      </c>
      <c r="I6" s="136" t="s">
        <v>30</v>
      </c>
      <c r="J6" s="53">
        <f>SUM(G3:G26)</f>
        <v>3156</v>
      </c>
    </row>
    <row r="7" ht="14.25" customHeight="1">
      <c r="A7" s="53">
        <v>5.0</v>
      </c>
      <c r="B7" s="23" t="s">
        <v>51</v>
      </c>
      <c r="C7" s="119">
        <v>4.0</v>
      </c>
      <c r="D7" s="40">
        <v>9.0</v>
      </c>
      <c r="E7" s="40">
        <f t="shared" ref="E7:F7" si="6">C7*C7</f>
        <v>16</v>
      </c>
      <c r="F7" s="25">
        <f t="shared" si="6"/>
        <v>81</v>
      </c>
      <c r="G7" s="25">
        <f t="shared" si="3"/>
        <v>36</v>
      </c>
    </row>
    <row r="8" ht="14.25" customHeight="1">
      <c r="A8" s="53">
        <v>6.0</v>
      </c>
      <c r="B8" s="23" t="s">
        <v>53</v>
      </c>
      <c r="C8" s="119">
        <v>6.0</v>
      </c>
      <c r="D8" s="40">
        <v>13.0</v>
      </c>
      <c r="E8" s="40">
        <f t="shared" ref="E8:F8" si="7">C8*C8</f>
        <v>36</v>
      </c>
      <c r="F8" s="25">
        <f t="shared" si="7"/>
        <v>169</v>
      </c>
      <c r="G8" s="25">
        <f t="shared" si="3"/>
        <v>78</v>
      </c>
    </row>
    <row r="9" ht="14.25" customHeight="1">
      <c r="A9" s="53">
        <v>7.0</v>
      </c>
      <c r="B9" s="23" t="s">
        <v>54</v>
      </c>
      <c r="C9" s="119">
        <v>5.0</v>
      </c>
      <c r="D9" s="40">
        <v>13.0</v>
      </c>
      <c r="E9" s="40">
        <f t="shared" ref="E9:F9" si="8">C9*C9</f>
        <v>25</v>
      </c>
      <c r="F9" s="25">
        <f t="shared" si="8"/>
        <v>169</v>
      </c>
      <c r="G9" s="25">
        <f t="shared" si="3"/>
        <v>65</v>
      </c>
    </row>
    <row r="10" ht="14.25" customHeight="1">
      <c r="A10" s="53">
        <v>8.0</v>
      </c>
      <c r="B10" s="23" t="s">
        <v>55</v>
      </c>
      <c r="C10" s="119">
        <v>7.0</v>
      </c>
      <c r="D10" s="40">
        <v>16.0</v>
      </c>
      <c r="E10" s="40">
        <f t="shared" ref="E10:F10" si="9">C10*C10</f>
        <v>49</v>
      </c>
      <c r="F10" s="25">
        <f t="shared" si="9"/>
        <v>256</v>
      </c>
      <c r="G10" s="25">
        <f t="shared" si="3"/>
        <v>112</v>
      </c>
    </row>
    <row r="11" ht="14.25" customHeight="1">
      <c r="A11" s="53">
        <v>9.0</v>
      </c>
      <c r="B11" s="23" t="s">
        <v>56</v>
      </c>
      <c r="C11" s="119">
        <v>11.0</v>
      </c>
      <c r="D11" s="40">
        <v>19.0</v>
      </c>
      <c r="E11" s="40">
        <f t="shared" ref="E11:F11" si="10">C11*C11</f>
        <v>121</v>
      </c>
      <c r="F11" s="25">
        <f t="shared" si="10"/>
        <v>361</v>
      </c>
      <c r="G11" s="25">
        <f t="shared" si="3"/>
        <v>209</v>
      </c>
    </row>
    <row r="12" ht="14.25" customHeight="1">
      <c r="A12" s="53">
        <v>10.0</v>
      </c>
      <c r="B12" s="23" t="s">
        <v>58</v>
      </c>
      <c r="C12" s="119">
        <v>11.0</v>
      </c>
      <c r="D12" s="40">
        <v>20.0</v>
      </c>
      <c r="E12" s="40">
        <f t="shared" ref="E12:F12" si="11">C12*C12</f>
        <v>121</v>
      </c>
      <c r="F12" s="25">
        <f t="shared" si="11"/>
        <v>400</v>
      </c>
      <c r="G12" s="25">
        <f t="shared" si="3"/>
        <v>220</v>
      </c>
    </row>
    <row r="13" ht="14.25" customHeight="1">
      <c r="A13" s="53">
        <v>11.0</v>
      </c>
      <c r="B13" s="23" t="s">
        <v>59</v>
      </c>
      <c r="C13" s="119">
        <v>10.0</v>
      </c>
      <c r="D13" s="40">
        <v>22.0</v>
      </c>
      <c r="E13" s="40">
        <f t="shared" ref="E13:F13" si="12">C13*C13</f>
        <v>100</v>
      </c>
      <c r="F13" s="25">
        <f t="shared" si="12"/>
        <v>484</v>
      </c>
      <c r="G13" s="25">
        <f t="shared" si="3"/>
        <v>220</v>
      </c>
    </row>
    <row r="14" ht="14.25" customHeight="1">
      <c r="A14" s="53">
        <v>12.0</v>
      </c>
      <c r="B14" s="23" t="s">
        <v>60</v>
      </c>
      <c r="C14" s="119">
        <v>14.0</v>
      </c>
      <c r="D14" s="40">
        <v>25.0</v>
      </c>
      <c r="E14" s="40">
        <f t="shared" ref="E14:F14" si="13">C14*C14</f>
        <v>196</v>
      </c>
      <c r="F14" s="25">
        <f t="shared" si="13"/>
        <v>625</v>
      </c>
      <c r="G14" s="25">
        <f t="shared" si="3"/>
        <v>350</v>
      </c>
      <c r="I14" s="70" t="s">
        <v>37</v>
      </c>
      <c r="J14" s="53">
        <f>(A26*J6-(J2*J3))/A26*J5-(J2*J2)</f>
        <v>863446.5</v>
      </c>
    </row>
    <row r="15" ht="14.25" customHeight="1">
      <c r="A15" s="53">
        <v>13.0</v>
      </c>
      <c r="B15" s="23" t="s">
        <v>62</v>
      </c>
      <c r="C15" s="119">
        <v>3.0</v>
      </c>
      <c r="D15" s="40">
        <v>8.0</v>
      </c>
      <c r="E15" s="40">
        <f t="shared" ref="E15:F15" si="14">C15*C15</f>
        <v>9</v>
      </c>
      <c r="F15" s="25">
        <f t="shared" si="14"/>
        <v>64</v>
      </c>
      <c r="G15" s="25">
        <f t="shared" si="3"/>
        <v>24</v>
      </c>
      <c r="I15" s="70" t="s">
        <v>38</v>
      </c>
      <c r="J15" s="53">
        <f>(J3-(J14*J2))/A26</f>
        <v>-6152041.146</v>
      </c>
    </row>
    <row r="16" ht="14.25" customHeight="1">
      <c r="A16" s="53">
        <v>14.0</v>
      </c>
      <c r="B16" s="23" t="s">
        <v>63</v>
      </c>
      <c r="C16" s="119">
        <v>2.0</v>
      </c>
      <c r="D16" s="73">
        <v>6.0</v>
      </c>
      <c r="E16" s="40">
        <f t="shared" ref="E16:F16" si="15">C16*C16</f>
        <v>4</v>
      </c>
      <c r="F16" s="25">
        <f t="shared" si="15"/>
        <v>36</v>
      </c>
      <c r="G16" s="25">
        <f t="shared" si="3"/>
        <v>12</v>
      </c>
    </row>
    <row r="17" ht="14.25" customHeight="1">
      <c r="A17" s="53">
        <v>15.0</v>
      </c>
      <c r="B17" s="23" t="s">
        <v>48</v>
      </c>
      <c r="C17" s="119">
        <v>4.0</v>
      </c>
      <c r="D17" s="73">
        <v>10.0</v>
      </c>
      <c r="E17" s="40">
        <f t="shared" ref="E17:F17" si="16">C17*C17</f>
        <v>16</v>
      </c>
      <c r="F17" s="25">
        <f t="shared" si="16"/>
        <v>100</v>
      </c>
      <c r="G17" s="25">
        <f t="shared" si="3"/>
        <v>40</v>
      </c>
      <c r="I17" s="138" t="s">
        <v>122</v>
      </c>
    </row>
    <row r="18" ht="14.25" customHeight="1">
      <c r="A18" s="53">
        <v>16.0</v>
      </c>
      <c r="B18" s="23" t="s">
        <v>65</v>
      </c>
      <c r="C18" s="119">
        <v>5.0</v>
      </c>
      <c r="D18" s="73">
        <v>12.0</v>
      </c>
      <c r="E18" s="40">
        <f t="shared" ref="E18:F18" si="17">C18*C18</f>
        <v>25</v>
      </c>
      <c r="F18" s="25">
        <f t="shared" si="17"/>
        <v>144</v>
      </c>
      <c r="G18" s="25">
        <f t="shared" si="3"/>
        <v>60</v>
      </c>
    </row>
    <row r="19" ht="14.25" customHeight="1">
      <c r="A19" s="53">
        <v>17.0</v>
      </c>
      <c r="B19" s="23" t="s">
        <v>66</v>
      </c>
      <c r="C19" s="119">
        <v>6.0</v>
      </c>
      <c r="D19" s="73">
        <v>14.0</v>
      </c>
      <c r="E19" s="40">
        <f t="shared" ref="E19:F19" si="18">C19*C19</f>
        <v>36</v>
      </c>
      <c r="F19" s="25">
        <f t="shared" si="18"/>
        <v>196</v>
      </c>
      <c r="G19" s="25">
        <f t="shared" si="3"/>
        <v>84</v>
      </c>
    </row>
    <row r="20" ht="14.25" customHeight="1">
      <c r="A20" s="53">
        <v>18.0</v>
      </c>
      <c r="B20" s="23" t="s">
        <v>67</v>
      </c>
      <c r="C20" s="119">
        <v>6.0</v>
      </c>
      <c r="D20" s="73">
        <v>15.0</v>
      </c>
      <c r="E20" s="40">
        <f t="shared" ref="E20:F20" si="19">C20*C20</f>
        <v>36</v>
      </c>
      <c r="F20" s="25">
        <f t="shared" si="19"/>
        <v>225</v>
      </c>
      <c r="G20" s="25">
        <f t="shared" si="3"/>
        <v>90</v>
      </c>
    </row>
    <row r="21" ht="14.25" customHeight="1">
      <c r="A21" s="53">
        <v>19.0</v>
      </c>
      <c r="B21" s="23" t="s">
        <v>68</v>
      </c>
      <c r="C21" s="119">
        <v>7.0</v>
      </c>
      <c r="D21" s="73">
        <v>18.0</v>
      </c>
      <c r="E21" s="40">
        <f t="shared" ref="E21:F21" si="20">C21*C21</f>
        <v>49</v>
      </c>
      <c r="F21" s="25">
        <f t="shared" si="20"/>
        <v>324</v>
      </c>
      <c r="G21" s="25">
        <f t="shared" si="3"/>
        <v>126</v>
      </c>
    </row>
    <row r="22" ht="14.25" customHeight="1">
      <c r="A22" s="53">
        <v>20.0</v>
      </c>
      <c r="B22" s="23" t="s">
        <v>69</v>
      </c>
      <c r="C22" s="119">
        <v>8.0</v>
      </c>
      <c r="D22" s="73">
        <v>18.0</v>
      </c>
      <c r="E22" s="40">
        <f t="shared" ref="E22:F22" si="21">C22*C22</f>
        <v>64</v>
      </c>
      <c r="F22" s="25">
        <f t="shared" si="21"/>
        <v>324</v>
      </c>
      <c r="G22" s="25">
        <f t="shared" si="3"/>
        <v>144</v>
      </c>
    </row>
    <row r="23" ht="14.25" customHeight="1">
      <c r="A23" s="53">
        <v>21.0</v>
      </c>
      <c r="B23" s="23" t="s">
        <v>70</v>
      </c>
      <c r="C23" s="119">
        <v>10.0</v>
      </c>
      <c r="D23" s="73">
        <v>21.0</v>
      </c>
      <c r="E23" s="40">
        <f t="shared" ref="E23:F23" si="22">C23*C23</f>
        <v>100</v>
      </c>
      <c r="F23" s="25">
        <f t="shared" si="22"/>
        <v>441</v>
      </c>
      <c r="G23" s="25">
        <f t="shared" si="3"/>
        <v>210</v>
      </c>
    </row>
    <row r="24" ht="14.25" customHeight="1">
      <c r="A24" s="53">
        <v>22.0</v>
      </c>
      <c r="B24" s="23" t="s">
        <v>72</v>
      </c>
      <c r="C24" s="119">
        <v>11.0</v>
      </c>
      <c r="D24" s="73">
        <v>22.0</v>
      </c>
      <c r="E24" s="40">
        <f t="shared" ref="E24:F24" si="23">C24*C24</f>
        <v>121</v>
      </c>
      <c r="F24" s="25">
        <f t="shared" si="23"/>
        <v>484</v>
      </c>
      <c r="G24" s="25">
        <f t="shared" si="3"/>
        <v>242</v>
      </c>
    </row>
    <row r="25" ht="14.25" customHeight="1">
      <c r="A25" s="53">
        <v>23.0</v>
      </c>
      <c r="B25" s="23" t="s">
        <v>73</v>
      </c>
      <c r="C25" s="119">
        <v>13.0</v>
      </c>
      <c r="D25" s="73">
        <v>23.0</v>
      </c>
      <c r="E25" s="40">
        <f t="shared" ref="E25:F25" si="24">C25*C25</f>
        <v>169</v>
      </c>
      <c r="F25" s="25">
        <f t="shared" si="24"/>
        <v>529</v>
      </c>
      <c r="G25" s="25">
        <f t="shared" si="3"/>
        <v>299</v>
      </c>
    </row>
    <row r="26" ht="14.25" customHeight="1">
      <c r="A26" s="53">
        <v>24.0</v>
      </c>
      <c r="B26" s="23" t="s">
        <v>74</v>
      </c>
      <c r="C26" s="119">
        <v>16.0</v>
      </c>
      <c r="D26" s="73">
        <v>27.0</v>
      </c>
      <c r="E26" s="40">
        <f t="shared" ref="E26:F26" si="25">C26*C26</f>
        <v>256</v>
      </c>
      <c r="F26" s="25">
        <f t="shared" si="25"/>
        <v>729</v>
      </c>
      <c r="G26" s="25">
        <f t="shared" si="3"/>
        <v>432</v>
      </c>
    </row>
    <row r="27" ht="14.25" customHeight="1"/>
    <row r="28" ht="14.25" customHeight="1"/>
    <row r="29" ht="42.7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G1"/>
    <mergeCell ref="I1:J1"/>
    <mergeCell ref="I17:K17"/>
  </mergeCell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4" width="10.57"/>
    <col customWidth="1" min="5" max="8" width="8.71"/>
    <col customWidth="1" min="9" max="10" width="12.71"/>
    <col customWidth="1" min="11" max="27" width="8.71"/>
  </cols>
  <sheetData>
    <row r="1" ht="14.25" customHeight="1">
      <c r="B1" s="130" t="s">
        <v>113</v>
      </c>
      <c r="C1" s="131"/>
      <c r="D1" s="131"/>
      <c r="E1" s="131"/>
      <c r="F1" s="131"/>
      <c r="G1" s="131"/>
    </row>
    <row r="2" ht="28.5" customHeight="1">
      <c r="A2" s="132" t="s">
        <v>114</v>
      </c>
      <c r="B2" s="132" t="s">
        <v>114</v>
      </c>
      <c r="C2" s="132" t="s">
        <v>115</v>
      </c>
      <c r="D2" s="135" t="s">
        <v>119</v>
      </c>
      <c r="E2" s="132" t="s">
        <v>29</v>
      </c>
      <c r="F2" s="133" t="s">
        <v>117</v>
      </c>
      <c r="G2" s="133" t="s">
        <v>30</v>
      </c>
    </row>
    <row r="3" ht="14.25" customHeight="1">
      <c r="A3" s="53">
        <f t="array" ref="A3:A9">SEQUENCE(7,1)</f>
        <v>1</v>
      </c>
      <c r="B3" s="139" t="s">
        <v>51</v>
      </c>
      <c r="C3" s="140">
        <v>2.0</v>
      </c>
      <c r="D3" s="141">
        <v>5.0</v>
      </c>
      <c r="E3" s="40">
        <f t="shared" ref="E3:F3" si="1">C3*C3</f>
        <v>4</v>
      </c>
      <c r="F3" s="25">
        <f t="shared" si="1"/>
        <v>25</v>
      </c>
      <c r="G3" s="25">
        <f t="shared" ref="G3:G9" si="3">C3*D3</f>
        <v>10</v>
      </c>
    </row>
    <row r="4" ht="14.25" customHeight="1">
      <c r="A4" s="53">
        <v>2.0</v>
      </c>
      <c r="B4" s="139" t="s">
        <v>54</v>
      </c>
      <c r="C4" s="140">
        <v>4.0</v>
      </c>
      <c r="D4" s="141">
        <v>8.0</v>
      </c>
      <c r="E4" s="40">
        <f t="shared" ref="E4:F4" si="2">C4*C4</f>
        <v>16</v>
      </c>
      <c r="F4" s="25">
        <f t="shared" si="2"/>
        <v>64</v>
      </c>
      <c r="G4" s="25">
        <f t="shared" si="3"/>
        <v>32</v>
      </c>
      <c r="I4" s="134" t="s">
        <v>118</v>
      </c>
      <c r="J4" s="131"/>
    </row>
    <row r="5" ht="14.25" customHeight="1">
      <c r="A5" s="53">
        <v>3.0</v>
      </c>
      <c r="B5" s="139" t="s">
        <v>58</v>
      </c>
      <c r="C5" s="140">
        <v>5.0</v>
      </c>
      <c r="D5" s="141">
        <v>10.0</v>
      </c>
      <c r="E5" s="40">
        <f t="shared" ref="E5:F5" si="4">C5*C5</f>
        <v>25</v>
      </c>
      <c r="F5" s="25">
        <f t="shared" si="4"/>
        <v>100</v>
      </c>
      <c r="G5" s="25">
        <f t="shared" si="3"/>
        <v>50</v>
      </c>
      <c r="I5" s="124" t="s">
        <v>120</v>
      </c>
      <c r="J5" s="53">
        <f>SUM(C3:C26)</f>
        <v>31</v>
      </c>
    </row>
    <row r="6" ht="14.25" customHeight="1">
      <c r="A6" s="53">
        <v>4.0</v>
      </c>
      <c r="B6" s="139" t="s">
        <v>63</v>
      </c>
      <c r="C6" s="140">
        <v>3.0</v>
      </c>
      <c r="D6" s="141">
        <v>8.0</v>
      </c>
      <c r="E6" s="40">
        <f t="shared" ref="E6:F6" si="5">C6*C6</f>
        <v>9</v>
      </c>
      <c r="F6" s="25">
        <f t="shared" si="5"/>
        <v>64</v>
      </c>
      <c r="G6" s="25">
        <f t="shared" si="3"/>
        <v>24</v>
      </c>
      <c r="I6" s="124" t="s">
        <v>121</v>
      </c>
      <c r="J6" s="53">
        <f>SUM(D3:D26)</f>
        <v>60</v>
      </c>
    </row>
    <row r="7" ht="14.25" customHeight="1">
      <c r="A7" s="53">
        <v>5.0</v>
      </c>
      <c r="B7" s="139" t="s">
        <v>66</v>
      </c>
      <c r="C7" s="140">
        <v>4.0</v>
      </c>
      <c r="D7" s="141">
        <v>7.0</v>
      </c>
      <c r="E7" s="40">
        <f t="shared" ref="E7:F7" si="6">C7*C7</f>
        <v>16</v>
      </c>
      <c r="F7" s="25">
        <f t="shared" si="6"/>
        <v>49</v>
      </c>
      <c r="G7" s="25">
        <f t="shared" si="3"/>
        <v>28</v>
      </c>
      <c r="I7" s="136" t="s">
        <v>117</v>
      </c>
      <c r="J7" s="53">
        <f>SUM(F3:F26)</f>
        <v>546</v>
      </c>
    </row>
    <row r="8" ht="14.25" customHeight="1">
      <c r="A8" s="53">
        <v>6.0</v>
      </c>
      <c r="B8" s="139" t="s">
        <v>69</v>
      </c>
      <c r="C8" s="140">
        <v>6.0</v>
      </c>
      <c r="D8" s="141">
        <v>10.0</v>
      </c>
      <c r="E8" s="40">
        <f t="shared" ref="E8:F8" si="7">C8*C8</f>
        <v>36</v>
      </c>
      <c r="F8" s="25">
        <f t="shared" si="7"/>
        <v>100</v>
      </c>
      <c r="G8" s="25">
        <f t="shared" si="3"/>
        <v>60</v>
      </c>
      <c r="I8" s="137" t="s">
        <v>29</v>
      </c>
      <c r="J8" s="53">
        <f>SUM(E3:E26)</f>
        <v>155</v>
      </c>
    </row>
    <row r="9" ht="14.25" customHeight="1">
      <c r="A9" s="53">
        <v>7.0</v>
      </c>
      <c r="B9" s="139" t="s">
        <v>73</v>
      </c>
      <c r="C9" s="140">
        <v>7.0</v>
      </c>
      <c r="D9" s="141">
        <v>12.0</v>
      </c>
      <c r="E9" s="40">
        <f t="shared" ref="E9:F9" si="8">C9*C9</f>
        <v>49</v>
      </c>
      <c r="F9" s="25">
        <f t="shared" si="8"/>
        <v>144</v>
      </c>
      <c r="G9" s="25">
        <f t="shared" si="3"/>
        <v>84</v>
      </c>
      <c r="I9" s="136" t="s">
        <v>30</v>
      </c>
      <c r="J9" s="53">
        <f>SUM(G3:G26)</f>
        <v>288</v>
      </c>
    </row>
    <row r="10" ht="14.25" customHeight="1">
      <c r="C10" s="123"/>
      <c r="D10" s="142"/>
      <c r="E10" s="142"/>
      <c r="F10" s="143"/>
      <c r="G10" s="143"/>
    </row>
    <row r="11" ht="14.25" customHeight="1">
      <c r="C11" s="124"/>
      <c r="D11" s="65"/>
      <c r="E11" s="65"/>
      <c r="F11" s="26"/>
      <c r="G11" s="26"/>
    </row>
    <row r="12" ht="14.25" customHeight="1">
      <c r="C12" s="124"/>
      <c r="D12" s="65"/>
      <c r="E12" s="65"/>
      <c r="F12" s="26"/>
      <c r="G12" s="26"/>
    </row>
    <row r="13" ht="14.25" customHeight="1">
      <c r="C13" s="124"/>
      <c r="D13" s="65"/>
      <c r="E13" s="65"/>
      <c r="F13" s="26"/>
      <c r="G13" s="26"/>
    </row>
    <row r="14" ht="14.25" customHeight="1">
      <c r="C14" s="124"/>
      <c r="D14" s="65"/>
      <c r="E14" s="65"/>
      <c r="F14" s="26"/>
      <c r="G14" s="26"/>
    </row>
    <row r="15" ht="14.25" customHeight="1">
      <c r="C15" s="124"/>
      <c r="D15" s="65"/>
      <c r="E15" s="65"/>
      <c r="F15" s="26"/>
      <c r="G15" s="26"/>
    </row>
    <row r="16" ht="14.25" customHeight="1">
      <c r="C16" s="124"/>
      <c r="D16" s="56"/>
      <c r="E16" s="65"/>
      <c r="F16" s="26"/>
      <c r="G16" s="26"/>
    </row>
    <row r="17" ht="14.25" customHeight="1">
      <c r="C17" s="124"/>
      <c r="D17" s="56"/>
      <c r="E17" s="65"/>
      <c r="F17" s="26"/>
      <c r="G17" s="26"/>
    </row>
    <row r="18" ht="14.25" customHeight="1">
      <c r="C18" s="124"/>
      <c r="D18" s="56"/>
      <c r="E18" s="65"/>
      <c r="F18" s="26"/>
      <c r="G18" s="26"/>
      <c r="I18" s="70" t="s">
        <v>37</v>
      </c>
      <c r="J18" s="53">
        <f>(A9*J9-(J5*J6))/A9*J8-(J5*J5)</f>
        <v>2493.285714</v>
      </c>
    </row>
    <row r="19" ht="14.25" customHeight="1">
      <c r="C19" s="124"/>
      <c r="D19" s="56"/>
      <c r="E19" s="65"/>
      <c r="F19" s="26"/>
      <c r="G19" s="26"/>
      <c r="I19" s="70" t="s">
        <v>38</v>
      </c>
      <c r="J19" s="53">
        <f>(J6-(J18*J5))/A9</f>
        <v>-11033.12245</v>
      </c>
    </row>
    <row r="20" ht="14.25" customHeight="1">
      <c r="C20" s="124"/>
      <c r="D20" s="56"/>
      <c r="E20" s="65"/>
      <c r="F20" s="26"/>
      <c r="G20" s="26"/>
    </row>
    <row r="21" ht="14.25" customHeight="1">
      <c r="C21" s="124"/>
      <c r="D21" s="56"/>
      <c r="E21" s="65"/>
      <c r="F21" s="26"/>
      <c r="G21" s="26"/>
      <c r="I21" s="138" t="s">
        <v>123</v>
      </c>
    </row>
    <row r="22" ht="14.25" customHeight="1">
      <c r="C22" s="124"/>
      <c r="D22" s="56"/>
      <c r="E22" s="65"/>
      <c r="F22" s="26"/>
      <c r="G22" s="26"/>
    </row>
    <row r="23" ht="14.25" customHeight="1">
      <c r="C23" s="124"/>
      <c r="D23" s="56"/>
      <c r="E23" s="65"/>
      <c r="F23" s="26"/>
      <c r="G23" s="26"/>
    </row>
    <row r="24" ht="14.25" customHeight="1">
      <c r="C24" s="124"/>
      <c r="D24" s="56"/>
      <c r="E24" s="65"/>
      <c r="F24" s="26"/>
      <c r="G24" s="26"/>
    </row>
    <row r="25" ht="14.25" customHeight="1">
      <c r="C25" s="124"/>
      <c r="D25" s="56"/>
      <c r="E25" s="65"/>
      <c r="F25" s="26"/>
      <c r="G25" s="26"/>
    </row>
    <row r="26" ht="14.25" customHeight="1">
      <c r="C26" s="124"/>
      <c r="D26" s="56"/>
      <c r="E26" s="65"/>
      <c r="F26" s="26"/>
      <c r="G26" s="26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G1"/>
    <mergeCell ref="I4:J4"/>
    <mergeCell ref="I21:K21"/>
  </mergeCells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8.14"/>
  </cols>
  <sheetData>
    <row r="1">
      <c r="A1" s="23" t="s">
        <v>124</v>
      </c>
      <c r="C1" s="23" t="s">
        <v>125</v>
      </c>
      <c r="D1" s="23" t="s">
        <v>126</v>
      </c>
      <c r="G1" s="23" t="s">
        <v>127</v>
      </c>
      <c r="J1" s="23" t="s">
        <v>128</v>
      </c>
    </row>
    <row r="2">
      <c r="A2" s="23" t="s">
        <v>129</v>
      </c>
      <c r="B2" s="23" t="s">
        <v>130</v>
      </c>
      <c r="D2" s="23" t="s">
        <v>126</v>
      </c>
      <c r="G2" s="23" t="s">
        <v>127</v>
      </c>
      <c r="I2" s="23" t="s">
        <v>131</v>
      </c>
      <c r="K2" s="23" t="s">
        <v>132</v>
      </c>
    </row>
    <row r="3">
      <c r="A3" s="144" t="s">
        <v>133</v>
      </c>
      <c r="C3" s="23" t="s">
        <v>134</v>
      </c>
      <c r="E3" s="23" t="s">
        <v>135</v>
      </c>
      <c r="K3" s="23" t="s">
        <v>132</v>
      </c>
    </row>
    <row r="4">
      <c r="A4" s="23" t="s">
        <v>136</v>
      </c>
      <c r="C4" s="23" t="s">
        <v>137</v>
      </c>
      <c r="F4" s="23" t="s">
        <v>138</v>
      </c>
      <c r="I4" s="23" t="s">
        <v>131</v>
      </c>
      <c r="L4" s="23" t="s">
        <v>139</v>
      </c>
    </row>
    <row r="5">
      <c r="A5" s="23" t="s">
        <v>140</v>
      </c>
      <c r="C5" s="23" t="s">
        <v>137</v>
      </c>
      <c r="E5" s="23" t="s">
        <v>135</v>
      </c>
      <c r="H5" s="23" t="s">
        <v>141</v>
      </c>
      <c r="L5" s="23" t="s">
        <v>139</v>
      </c>
    </row>
    <row r="8">
      <c r="A8" s="23" t="s">
        <v>124</v>
      </c>
    </row>
    <row r="9">
      <c r="A9" s="23" t="s">
        <v>129</v>
      </c>
    </row>
    <row r="10">
      <c r="A10" s="23" t="s">
        <v>136</v>
      </c>
    </row>
    <row r="11">
      <c r="A11" s="23" t="s">
        <v>140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1.57"/>
    <col customWidth="1" min="3" max="3" width="18.14"/>
    <col customWidth="1" min="4" max="4" width="19.14"/>
    <col customWidth="1" min="7" max="7" width="20.29"/>
    <col customWidth="1" min="8" max="8" width="18.0"/>
  </cols>
  <sheetData>
    <row r="5">
      <c r="B5" s="23" t="s">
        <v>47</v>
      </c>
      <c r="C5" s="56" t="s">
        <v>142</v>
      </c>
      <c r="D5" s="56" t="s">
        <v>143</v>
      </c>
      <c r="E5" s="138" t="s">
        <v>110</v>
      </c>
      <c r="F5" s="138" t="s">
        <v>144</v>
      </c>
      <c r="G5" s="56" t="s">
        <v>145</v>
      </c>
      <c r="H5" s="56" t="s">
        <v>146</v>
      </c>
      <c r="I5" s="138" t="s">
        <v>110</v>
      </c>
      <c r="J5" s="138" t="s">
        <v>144</v>
      </c>
    </row>
    <row r="6">
      <c r="B6" s="145">
        <v>45078.0</v>
      </c>
      <c r="C6" s="23">
        <v>4.0</v>
      </c>
      <c r="G6" s="23">
        <v>12.0</v>
      </c>
    </row>
    <row r="7">
      <c r="B7" s="145">
        <v>45170.0</v>
      </c>
      <c r="C7" s="23">
        <v>6.0</v>
      </c>
      <c r="G7" s="23">
        <v>17.0</v>
      </c>
    </row>
    <row r="8">
      <c r="B8" s="145">
        <v>45261.0</v>
      </c>
      <c r="C8" s="23">
        <v>9.0</v>
      </c>
      <c r="G8" s="23">
        <v>23.0</v>
      </c>
    </row>
    <row r="9">
      <c r="B9" s="145">
        <v>45323.0</v>
      </c>
      <c r="C9" s="23">
        <v>4.0</v>
      </c>
      <c r="G9" s="23">
        <v>11.0</v>
      </c>
    </row>
    <row r="10">
      <c r="B10" s="145">
        <v>45383.0</v>
      </c>
      <c r="C10" s="23">
        <v>5.0</v>
      </c>
      <c r="G10" s="23">
        <v>14.0</v>
      </c>
    </row>
    <row r="11">
      <c r="B11" s="145">
        <v>45474.0</v>
      </c>
      <c r="C11" s="23">
        <v>7.0</v>
      </c>
      <c r="G11" s="23">
        <v>16.0</v>
      </c>
    </row>
    <row r="12">
      <c r="B12" s="145">
        <v>45566.0</v>
      </c>
      <c r="C12" s="23">
        <v>8.0</v>
      </c>
      <c r="G12" s="23">
        <v>22.0</v>
      </c>
    </row>
    <row r="13">
      <c r="B13" s="146" t="s">
        <v>39</v>
      </c>
    </row>
    <row r="14">
      <c r="B14" s="146" t="s">
        <v>9</v>
      </c>
    </row>
    <row r="16">
      <c r="G16" s="147"/>
    </row>
  </sheetData>
  <conditionalFormatting sqref="G16">
    <cfRule type="notContainsBlanks" dxfId="0" priority="1">
      <formula>LEN(TRIM(G16))&gt;0</formula>
    </cfRule>
  </conditionalFormatting>
  <conditionalFormatting sqref="G16">
    <cfRule type="notContainsBlanks" dxfId="0" priority="2">
      <formula>LEN(TRIM(G16))&gt;0</formula>
    </cfRule>
  </conditionalFormatting>
  <drawing r:id="rId1"/>
</worksheet>
</file>